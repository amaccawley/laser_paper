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trlProps/ctrlProp12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Papers\Laser\Plos One\"/>
    </mc:Choice>
  </mc:AlternateContent>
  <xr:revisionPtr revIDLastSave="0" documentId="8_{A8183E31-58E7-40C8-A456-994C4BF2B705}" xr6:coauthVersionLast="47" xr6:coauthVersionMax="47" xr10:uidLastSave="{00000000-0000-0000-0000-000000000000}"/>
  <bookViews>
    <workbookView xWindow="-98" yWindow="-98" windowWidth="28996" windowHeight="15796" activeTab="13" xr2:uid="{AAF97286-9DBF-464A-9B91-626258865826}"/>
  </bookViews>
  <sheets>
    <sheet name="Anual Demand Average" sheetId="7" r:id="rId1"/>
    <sheet name="P1" sheetId="1" r:id="rId2"/>
    <sheet name="P2" sheetId="5" r:id="rId3"/>
    <sheet name="P3" sheetId="6" r:id="rId4"/>
    <sheet name="P4" sheetId="8" r:id="rId5"/>
    <sheet name="P5" sheetId="9" r:id="rId6"/>
    <sheet name="P6" sheetId="10" r:id="rId7"/>
    <sheet name="P7" sheetId="11" r:id="rId8"/>
    <sheet name="P8" sheetId="12" r:id="rId9"/>
    <sheet name="P9" sheetId="13" r:id="rId10"/>
    <sheet name="P10" sheetId="14" r:id="rId11"/>
    <sheet name="P11" sheetId="15" r:id="rId12"/>
    <sheet name="PResumen" sheetId="17" r:id="rId13"/>
    <sheet name="Cutting_Speeds" sheetId="19" r:id="rId14"/>
  </sheets>
  <definedNames>
    <definedName name="_xlnm._FilterDatabase" localSheetId="1" hidden="1">'P1'!$K$1:$K$1001</definedName>
    <definedName name="_xlnm._FilterDatabase" localSheetId="10" hidden="1">'P10'!$K$1:$K$1001</definedName>
    <definedName name="_xlnm._FilterDatabase" localSheetId="11" hidden="1">'P11'!$K$1:$K$1001</definedName>
    <definedName name="_xlnm._FilterDatabase" localSheetId="2" hidden="1">'P2'!$K$1:$K$1001</definedName>
    <definedName name="_xlnm._FilterDatabase" localSheetId="3" hidden="1">'P3'!$K$1:$K$1001</definedName>
    <definedName name="_xlnm._FilterDatabase" localSheetId="4" hidden="1">'P4'!$K$1:$K$1001</definedName>
    <definedName name="_xlnm._FilterDatabase" localSheetId="5" hidden="1">'P5'!$K$1:$K$1001</definedName>
    <definedName name="_xlnm._FilterDatabase" localSheetId="6" hidden="1">'P6'!$K$1:$K$1001</definedName>
    <definedName name="_xlnm._FilterDatabase" localSheetId="7" hidden="1">'P7'!$K$1:$K$1001</definedName>
    <definedName name="_xlnm._FilterDatabase" localSheetId="8" hidden="1">'P8'!$K$1:$K$1001</definedName>
    <definedName name="_xlnm._FilterDatabase" localSheetId="9" hidden="1">'P9'!$K$1:$K$1001</definedName>
    <definedName name="_xlnm._FilterDatabase" localSheetId="12" hidden="1">PResumen!$K$1:$K$1001</definedName>
  </definedNames>
  <calcPr calcId="19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F8" i="1"/>
  <c r="E8" i="1"/>
  <c r="I1" i="17"/>
  <c r="J1" i="17"/>
  <c r="J2" i="17"/>
  <c r="J3" i="17"/>
  <c r="J4" i="17"/>
  <c r="J5" i="17"/>
  <c r="J6" i="17"/>
  <c r="J7" i="17"/>
  <c r="J8" i="17"/>
  <c r="J9" i="17"/>
  <c r="J10" i="17"/>
  <c r="J11" i="17"/>
  <c r="I11" i="17"/>
  <c r="I9" i="17"/>
  <c r="O32" i="17" s="1"/>
  <c r="I8" i="17"/>
  <c r="I7" i="17"/>
  <c r="P30" i="17" s="1"/>
  <c r="I6" i="17"/>
  <c r="R29" i="17" s="1"/>
  <c r="I5" i="17"/>
  <c r="P28" i="17" s="1"/>
  <c r="C3" i="8"/>
  <c r="E7" i="8" s="1"/>
  <c r="F7" i="15"/>
  <c r="G7" i="15"/>
  <c r="H7" i="15"/>
  <c r="I7" i="15"/>
  <c r="E7" i="15"/>
  <c r="F7" i="13"/>
  <c r="G7" i="13"/>
  <c r="H7" i="13"/>
  <c r="I7" i="13"/>
  <c r="E7" i="13"/>
  <c r="E7" i="12"/>
  <c r="F7" i="12"/>
  <c r="G7" i="12"/>
  <c r="H7" i="12"/>
  <c r="I7" i="12"/>
  <c r="F7" i="11"/>
  <c r="G7" i="11"/>
  <c r="H7" i="11"/>
  <c r="I7" i="11"/>
  <c r="F7" i="10"/>
  <c r="G7" i="10"/>
  <c r="H7" i="10"/>
  <c r="I7" i="10"/>
  <c r="E7" i="10"/>
  <c r="E7" i="9"/>
  <c r="C3" i="1"/>
  <c r="J8" i="1" s="1"/>
  <c r="R34" i="17" l="1"/>
  <c r="P32" i="17"/>
  <c r="O30" i="17"/>
  <c r="Q29" i="17"/>
  <c r="R31" i="17"/>
  <c r="S28" i="17"/>
  <c r="O28" i="17"/>
  <c r="I4" i="17"/>
  <c r="R47" i="17"/>
  <c r="T47" i="17"/>
  <c r="Q47" i="17"/>
  <c r="O47" i="17"/>
  <c r="S47" i="17"/>
  <c r="P47" i="17"/>
  <c r="R39" i="17"/>
  <c r="T39" i="17"/>
  <c r="O39" i="17"/>
  <c r="S39" i="17"/>
  <c r="Q39" i="17"/>
  <c r="P39" i="17"/>
  <c r="Q34" i="17"/>
  <c r="R43" i="17"/>
  <c r="T43" i="17"/>
  <c r="Q43" i="17"/>
  <c r="P43" i="17"/>
  <c r="O43" i="17"/>
  <c r="S43" i="17"/>
  <c r="O46" i="17"/>
  <c r="R46" i="17"/>
  <c r="P46" i="17"/>
  <c r="S46" i="17"/>
  <c r="T46" i="17"/>
  <c r="Q46" i="17"/>
  <c r="O42" i="17"/>
  <c r="R42" i="17"/>
  <c r="Q42" i="17"/>
  <c r="S42" i="17"/>
  <c r="T42" i="17"/>
  <c r="P42" i="17"/>
  <c r="R38" i="17"/>
  <c r="P38" i="17"/>
  <c r="O38" i="17"/>
  <c r="Q38" i="17"/>
  <c r="S38" i="17"/>
  <c r="T38" i="17"/>
  <c r="T34" i="17"/>
  <c r="P34" i="17"/>
  <c r="T32" i="17"/>
  <c r="T31" i="17"/>
  <c r="P31" i="17"/>
  <c r="R30" i="17"/>
  <c r="T29" i="17"/>
  <c r="P29" i="17"/>
  <c r="R28" i="17"/>
  <c r="Q31" i="17"/>
  <c r="S30" i="17"/>
  <c r="C5" i="1"/>
  <c r="I8" i="1"/>
  <c r="R45" i="17"/>
  <c r="T45" i="17"/>
  <c r="Q45" i="17"/>
  <c r="S45" i="17"/>
  <c r="P45" i="17"/>
  <c r="O45" i="17"/>
  <c r="R41" i="17"/>
  <c r="T41" i="17"/>
  <c r="S41" i="17"/>
  <c r="P41" i="17"/>
  <c r="O41" i="17"/>
  <c r="Q41" i="17"/>
  <c r="Q37" i="17"/>
  <c r="O37" i="17"/>
  <c r="S37" i="17"/>
  <c r="T37" i="17"/>
  <c r="R37" i="17"/>
  <c r="P37" i="17"/>
  <c r="S34" i="17"/>
  <c r="O34" i="17"/>
  <c r="S32" i="17"/>
  <c r="S31" i="17"/>
  <c r="O31" i="17"/>
  <c r="Q30" i="17"/>
  <c r="S29" i="17"/>
  <c r="O29" i="17"/>
  <c r="Q28" i="17"/>
  <c r="H8" i="1"/>
  <c r="R44" i="17"/>
  <c r="P44" i="17"/>
  <c r="O44" i="17"/>
  <c r="S44" i="17"/>
  <c r="T44" i="17"/>
  <c r="Q44" i="17"/>
  <c r="R40" i="17"/>
  <c r="P40" i="17"/>
  <c r="Q40" i="17"/>
  <c r="S40" i="17"/>
  <c r="O40" i="17"/>
  <c r="T40" i="17"/>
  <c r="Q32" i="17"/>
  <c r="T30" i="17"/>
  <c r="T28" i="17"/>
  <c r="R32" i="17"/>
  <c r="M2" i="15"/>
  <c r="E7" i="11"/>
  <c r="F7" i="9"/>
  <c r="G7" i="9"/>
  <c r="H7" i="9"/>
  <c r="I7" i="9"/>
  <c r="F7" i="8"/>
  <c r="G7" i="8"/>
  <c r="H7" i="8"/>
  <c r="I7" i="8"/>
  <c r="Q24" i="17" l="1"/>
  <c r="O24" i="17"/>
  <c r="R24" i="17"/>
  <c r="S24" i="17"/>
  <c r="T24" i="17"/>
  <c r="P24" i="17"/>
  <c r="R27" i="17"/>
  <c r="Q27" i="17"/>
  <c r="O27" i="17"/>
  <c r="S27" i="17"/>
  <c r="P27" i="17"/>
  <c r="T27" i="17"/>
  <c r="C5" i="15"/>
  <c r="C3" i="14"/>
  <c r="C5" i="12"/>
  <c r="D4" i="12"/>
  <c r="C4" i="12"/>
  <c r="C5" i="10"/>
  <c r="C5" i="8"/>
  <c r="C10" i="8"/>
  <c r="I10" i="17" l="1"/>
  <c r="E7" i="14"/>
  <c r="H7" i="14"/>
  <c r="I7" i="14"/>
  <c r="F7" i="14"/>
  <c r="G7" i="14"/>
  <c r="C5" i="14"/>
  <c r="C5" i="6"/>
  <c r="C3" i="6"/>
  <c r="E7" i="6" s="1"/>
  <c r="C3" i="5"/>
  <c r="C10" i="1"/>
  <c r="C11" i="17"/>
  <c r="A13" i="17" s="1"/>
  <c r="C10" i="17"/>
  <c r="M2" i="17"/>
  <c r="M1" i="17"/>
  <c r="C11" i="15"/>
  <c r="A13" i="15" s="1"/>
  <c r="C10" i="15"/>
  <c r="M1" i="15"/>
  <c r="C11" i="14"/>
  <c r="A13" i="14" s="1"/>
  <c r="C10" i="14"/>
  <c r="M2" i="14"/>
  <c r="M1" i="14"/>
  <c r="C5" i="13"/>
  <c r="C11" i="13"/>
  <c r="A13" i="13" s="1"/>
  <c r="C10" i="13"/>
  <c r="M2" i="13"/>
  <c r="M1" i="13"/>
  <c r="C11" i="12"/>
  <c r="A13" i="12" s="1"/>
  <c r="C10" i="12"/>
  <c r="M2" i="12"/>
  <c r="M1" i="12"/>
  <c r="C11" i="11"/>
  <c r="A13" i="11" s="1"/>
  <c r="C10" i="11"/>
  <c r="M2" i="11"/>
  <c r="M1" i="11"/>
  <c r="C11" i="10"/>
  <c r="A13" i="10" s="1"/>
  <c r="C10" i="10"/>
  <c r="M2" i="10"/>
  <c r="M1" i="10"/>
  <c r="C5" i="9"/>
  <c r="C11" i="9"/>
  <c r="A13" i="9" s="1"/>
  <c r="C10" i="9"/>
  <c r="M2" i="9"/>
  <c r="M1" i="9"/>
  <c r="C11" i="8"/>
  <c r="A13" i="8" s="1"/>
  <c r="M2" i="8"/>
  <c r="M1" i="8"/>
  <c r="M2" i="6"/>
  <c r="C11" i="6"/>
  <c r="A13" i="6" s="1"/>
  <c r="C10" i="6"/>
  <c r="M1" i="6"/>
  <c r="M2" i="1"/>
  <c r="M1" i="1"/>
  <c r="C11" i="5"/>
  <c r="A13" i="5" s="1"/>
  <c r="C10" i="5"/>
  <c r="M2" i="5"/>
  <c r="M1" i="5"/>
  <c r="C11" i="1"/>
  <c r="A13" i="1" s="1"/>
  <c r="E7" i="5" l="1"/>
  <c r="I7" i="5"/>
  <c r="I2" i="17"/>
  <c r="F7" i="5"/>
  <c r="G7" i="5"/>
  <c r="H7" i="5"/>
  <c r="I3" i="17"/>
  <c r="F7" i="6"/>
  <c r="H7" i="6"/>
  <c r="G7" i="6"/>
  <c r="I7" i="6"/>
  <c r="C5" i="5"/>
  <c r="P33" i="17"/>
  <c r="T33" i="17"/>
  <c r="Q33" i="17"/>
  <c r="R33" i="17"/>
  <c r="O33" i="17"/>
  <c r="S33" i="17"/>
  <c r="A14" i="17"/>
  <c r="A14" i="15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B62" i="15" s="1"/>
  <c r="A14" i="14"/>
  <c r="A15" i="14" s="1"/>
  <c r="A14" i="13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14" i="12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B62" i="12" s="1"/>
  <c r="A14" i="1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B63" i="11" s="1"/>
  <c r="A14" i="10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B63" i="10" s="1"/>
  <c r="A14" i="9"/>
  <c r="A15" i="9" s="1"/>
  <c r="B14" i="9" s="1"/>
  <c r="A14" i="8"/>
  <c r="A14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B63" i="6" s="1"/>
  <c r="A14" i="5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B63" i="1" s="1"/>
  <c r="E11" i="1"/>
  <c r="C3" i="17"/>
  <c r="D3" i="17"/>
  <c r="E11" i="17"/>
  <c r="E11" i="15"/>
  <c r="E11" i="14"/>
  <c r="E11" i="13"/>
  <c r="E11" i="12"/>
  <c r="C5" i="11"/>
  <c r="E11" i="11"/>
  <c r="E11" i="10"/>
  <c r="E11" i="9"/>
  <c r="E11" i="8"/>
  <c r="E11" i="6"/>
  <c r="E11" i="5"/>
  <c r="P26" i="17" l="1"/>
  <c r="T26" i="17"/>
  <c r="Q26" i="17"/>
  <c r="O26" i="17"/>
  <c r="S26" i="17"/>
  <c r="R26" i="17"/>
  <c r="R25" i="17"/>
  <c r="Q25" i="17"/>
  <c r="O25" i="17"/>
  <c r="S25" i="17"/>
  <c r="P25" i="17"/>
  <c r="T25" i="17"/>
  <c r="B13" i="17"/>
  <c r="B13" i="15"/>
  <c r="B13" i="14"/>
  <c r="A15" i="17"/>
  <c r="A16" i="14"/>
  <c r="B14" i="14"/>
  <c r="B62" i="10"/>
  <c r="B13" i="9"/>
  <c r="A16" i="9"/>
  <c r="B15" i="9" s="1"/>
  <c r="A15" i="8"/>
  <c r="B13" i="8"/>
  <c r="B62" i="6"/>
  <c r="B13" i="5"/>
  <c r="B13" i="1"/>
  <c r="C5" i="17"/>
  <c r="B14" i="13"/>
  <c r="B13" i="13"/>
  <c r="B14" i="12"/>
  <c r="B13" i="12"/>
  <c r="B14" i="11"/>
  <c r="B13" i="11"/>
  <c r="B13" i="10"/>
  <c r="B14" i="10"/>
  <c r="B13" i="6"/>
  <c r="B14" i="6"/>
  <c r="A16" i="17" l="1"/>
  <c r="B15" i="17"/>
  <c r="B14" i="17"/>
  <c r="A17" i="14"/>
  <c r="B16" i="14" s="1"/>
  <c r="B15" i="14"/>
  <c r="A17" i="9"/>
  <c r="B16" i="9" s="1"/>
  <c r="A16" i="8"/>
  <c r="B15" i="8" s="1"/>
  <c r="B14" i="8"/>
  <c r="B14" i="5"/>
  <c r="B14" i="1"/>
  <c r="B15" i="15"/>
  <c r="B14" i="15"/>
  <c r="B15" i="13"/>
  <c r="B15" i="12"/>
  <c r="B16" i="11"/>
  <c r="B15" i="10"/>
  <c r="B15" i="6"/>
  <c r="A17" i="17" l="1"/>
  <c r="B16" i="17" s="1"/>
  <c r="A18" i="14"/>
  <c r="A18" i="9"/>
  <c r="B17" i="9" s="1"/>
  <c r="A17" i="8"/>
  <c r="B16" i="8" s="1"/>
  <c r="B15" i="5"/>
  <c r="B15" i="1"/>
  <c r="B16" i="15"/>
  <c r="B16" i="12"/>
  <c r="B15" i="11"/>
  <c r="B16" i="10"/>
  <c r="B16" i="6"/>
  <c r="B16" i="1"/>
  <c r="A18" i="17" l="1"/>
  <c r="B17" i="17" s="1"/>
  <c r="A19" i="14"/>
  <c r="B18" i="14" s="1"/>
  <c r="B17" i="14"/>
  <c r="A19" i="9"/>
  <c r="B18" i="9" s="1"/>
  <c r="A18" i="8"/>
  <c r="B17" i="8" s="1"/>
  <c r="B16" i="5"/>
  <c r="B17" i="15"/>
  <c r="B16" i="13"/>
  <c r="B18" i="11"/>
  <c r="B17" i="11"/>
  <c r="B17" i="10"/>
  <c r="B17" i="6"/>
  <c r="A19" i="17" l="1"/>
  <c r="B18" i="17" s="1"/>
  <c r="A20" i="14"/>
  <c r="B19" i="14" s="1"/>
  <c r="A20" i="9"/>
  <c r="B19" i="9" s="1"/>
  <c r="A19" i="8"/>
  <c r="B18" i="8" s="1"/>
  <c r="B17" i="5"/>
  <c r="B17" i="1"/>
  <c r="B18" i="15"/>
  <c r="B18" i="13"/>
  <c r="B17" i="13"/>
  <c r="B18" i="12"/>
  <c r="B17" i="12"/>
  <c r="B19" i="11"/>
  <c r="B18" i="10"/>
  <c r="B18" i="6"/>
  <c r="A20" i="17" l="1"/>
  <c r="B19" i="17" s="1"/>
  <c r="A21" i="14"/>
  <c r="B20" i="14" s="1"/>
  <c r="A21" i="9"/>
  <c r="B20" i="9" s="1"/>
  <c r="A20" i="8"/>
  <c r="B19" i="8" s="1"/>
  <c r="B18" i="5"/>
  <c r="B18" i="1"/>
  <c r="B19" i="13"/>
  <c r="B19" i="12"/>
  <c r="B20" i="11"/>
  <c r="B20" i="10"/>
  <c r="B19" i="6"/>
  <c r="A21" i="17" l="1"/>
  <c r="B20" i="17" s="1"/>
  <c r="A22" i="14"/>
  <c r="B21" i="14" s="1"/>
  <c r="A22" i="9"/>
  <c r="B21" i="9" s="1"/>
  <c r="A21" i="8"/>
  <c r="B20" i="8" s="1"/>
  <c r="B19" i="5"/>
  <c r="B19" i="1"/>
  <c r="B19" i="15"/>
  <c r="B20" i="15"/>
  <c r="B21" i="15"/>
  <c r="B20" i="13"/>
  <c r="B20" i="12"/>
  <c r="B19" i="10"/>
  <c r="B21" i="10"/>
  <c r="B20" i="6"/>
  <c r="A22" i="17" l="1"/>
  <c r="B21" i="17" s="1"/>
  <c r="A23" i="14"/>
  <c r="B22" i="14" s="1"/>
  <c r="A23" i="9"/>
  <c r="B22" i="9" s="1"/>
  <c r="A22" i="8"/>
  <c r="B21" i="8" s="1"/>
  <c r="B20" i="5"/>
  <c r="B20" i="1"/>
  <c r="B22" i="15"/>
  <c r="B22" i="11"/>
  <c r="B21" i="11"/>
  <c r="B22" i="10"/>
  <c r="B21" i="6"/>
  <c r="A23" i="17" l="1"/>
  <c r="B22" i="17" s="1"/>
  <c r="A24" i="14"/>
  <c r="B23" i="14" s="1"/>
  <c r="A24" i="9"/>
  <c r="B23" i="9" s="1"/>
  <c r="A23" i="8"/>
  <c r="B22" i="8" s="1"/>
  <c r="B21" i="5"/>
  <c r="B21" i="1"/>
  <c r="B22" i="13"/>
  <c r="B21" i="13"/>
  <c r="B22" i="12"/>
  <c r="B21" i="12"/>
  <c r="B23" i="10"/>
  <c r="B22" i="6"/>
  <c r="A24" i="17" l="1"/>
  <c r="B23" i="17" s="1"/>
  <c r="A25" i="14"/>
  <c r="B24" i="14" s="1"/>
  <c r="A25" i="9"/>
  <c r="B24" i="9" s="1"/>
  <c r="A24" i="8"/>
  <c r="B23" i="8" s="1"/>
  <c r="B22" i="5"/>
  <c r="B22" i="1"/>
  <c r="B24" i="15"/>
  <c r="B23" i="15"/>
  <c r="B24" i="11"/>
  <c r="B23" i="11"/>
  <c r="B24" i="10"/>
  <c r="B23" i="6"/>
  <c r="A25" i="17" l="1"/>
  <c r="B24" i="17" s="1"/>
  <c r="A26" i="14"/>
  <c r="B25" i="14" s="1"/>
  <c r="A26" i="9"/>
  <c r="B25" i="9" s="1"/>
  <c r="A25" i="8"/>
  <c r="B24" i="8" s="1"/>
  <c r="B23" i="5"/>
  <c r="B23" i="1"/>
  <c r="B25" i="15"/>
  <c r="B24" i="13"/>
  <c r="B23" i="13"/>
  <c r="B24" i="12"/>
  <c r="B23" i="12"/>
  <c r="B25" i="10"/>
  <c r="B24" i="6"/>
  <c r="A26" i="17" l="1"/>
  <c r="B25" i="17" s="1"/>
  <c r="A27" i="14"/>
  <c r="B26" i="14" s="1"/>
  <c r="A27" i="9"/>
  <c r="B26" i="9" s="1"/>
  <c r="A26" i="8"/>
  <c r="B25" i="8" s="1"/>
  <c r="B24" i="5"/>
  <c r="B24" i="1"/>
  <c r="B26" i="15"/>
  <c r="B25" i="13"/>
  <c r="B26" i="11"/>
  <c r="B25" i="11"/>
  <c r="B26" i="10"/>
  <c r="B25" i="6"/>
  <c r="A27" i="17" l="1"/>
  <c r="B26" i="17" s="1"/>
  <c r="A28" i="14"/>
  <c r="B27" i="14" s="1"/>
  <c r="A28" i="9"/>
  <c r="B27" i="9" s="1"/>
  <c r="A27" i="8"/>
  <c r="B26" i="8" s="1"/>
  <c r="B26" i="5"/>
  <c r="B25" i="5"/>
  <c r="B25" i="1"/>
  <c r="B27" i="15"/>
  <c r="B26" i="13"/>
  <c r="B26" i="12"/>
  <c r="B25" i="12"/>
  <c r="B27" i="10"/>
  <c r="B26" i="6"/>
  <c r="A28" i="17" l="1"/>
  <c r="B27" i="17" s="1"/>
  <c r="A29" i="14"/>
  <c r="B28" i="14" s="1"/>
  <c r="A29" i="9"/>
  <c r="B28" i="9" s="1"/>
  <c r="A28" i="8"/>
  <c r="B27" i="8" s="1"/>
  <c r="B27" i="5"/>
  <c r="B26" i="1"/>
  <c r="B28" i="15"/>
  <c r="B27" i="12"/>
  <c r="B28" i="11"/>
  <c r="B27" i="11"/>
  <c r="B28" i="10"/>
  <c r="B27" i="6"/>
  <c r="A29" i="17" l="1"/>
  <c r="B28" i="17" s="1"/>
  <c r="A30" i="14"/>
  <c r="B29" i="14" s="1"/>
  <c r="A30" i="9"/>
  <c r="B29" i="9" s="1"/>
  <c r="A29" i="8"/>
  <c r="B28" i="8" s="1"/>
  <c r="B28" i="5"/>
  <c r="B27" i="1"/>
  <c r="B29" i="15"/>
  <c r="B28" i="13"/>
  <c r="B27" i="13"/>
  <c r="B28" i="12"/>
  <c r="B29" i="10"/>
  <c r="B28" i="6"/>
  <c r="A30" i="17" l="1"/>
  <c r="B29" i="17" s="1"/>
  <c r="A31" i="14"/>
  <c r="B30" i="14" s="1"/>
  <c r="A31" i="9"/>
  <c r="B30" i="9" s="1"/>
  <c r="A30" i="8"/>
  <c r="B29" i="8" s="1"/>
  <c r="B29" i="5"/>
  <c r="B28" i="1"/>
  <c r="B30" i="15"/>
  <c r="B30" i="11"/>
  <c r="B29" i="11"/>
  <c r="B30" i="10"/>
  <c r="B29" i="6"/>
  <c r="A31" i="17" l="1"/>
  <c r="B30" i="17" s="1"/>
  <c r="A32" i="14"/>
  <c r="B31" i="14" s="1"/>
  <c r="A32" i="9"/>
  <c r="B31" i="9" s="1"/>
  <c r="A31" i="8"/>
  <c r="B30" i="8" s="1"/>
  <c r="B30" i="5"/>
  <c r="B29" i="1"/>
  <c r="B31" i="15"/>
  <c r="B30" i="13"/>
  <c r="B29" i="13"/>
  <c r="B30" i="12"/>
  <c r="B29" i="12"/>
  <c r="B31" i="10"/>
  <c r="B30" i="6"/>
  <c r="A32" i="17" l="1"/>
  <c r="B31" i="17" s="1"/>
  <c r="A33" i="14"/>
  <c r="B32" i="14" s="1"/>
  <c r="A33" i="9"/>
  <c r="B32" i="9" s="1"/>
  <c r="A32" i="8"/>
  <c r="B31" i="8" s="1"/>
  <c r="B31" i="5"/>
  <c r="B30" i="1"/>
  <c r="B32" i="15"/>
  <c r="B31" i="13"/>
  <c r="B32" i="11"/>
  <c r="B31" i="11"/>
  <c r="B32" i="10"/>
  <c r="B31" i="6"/>
  <c r="A33" i="17" l="1"/>
  <c r="B32" i="17" s="1"/>
  <c r="A34" i="14"/>
  <c r="B33" i="14" s="1"/>
  <c r="A34" i="9"/>
  <c r="B33" i="9" s="1"/>
  <c r="A33" i="8"/>
  <c r="B32" i="8" s="1"/>
  <c r="B32" i="5"/>
  <c r="B31" i="1"/>
  <c r="B33" i="15"/>
  <c r="B32" i="13"/>
  <c r="B32" i="12"/>
  <c r="B31" i="12"/>
  <c r="B33" i="11"/>
  <c r="B33" i="10"/>
  <c r="B32" i="6"/>
  <c r="A34" i="17" l="1"/>
  <c r="B33" i="17" s="1"/>
  <c r="A35" i="14"/>
  <c r="B34" i="14" s="1"/>
  <c r="A35" i="9"/>
  <c r="B34" i="9" s="1"/>
  <c r="A34" i="8"/>
  <c r="B33" i="8" s="1"/>
  <c r="B33" i="5"/>
  <c r="B32" i="1"/>
  <c r="B34" i="15"/>
  <c r="B33" i="12"/>
  <c r="B34" i="11"/>
  <c r="B34" i="10"/>
  <c r="B33" i="6"/>
  <c r="A35" i="17" l="1"/>
  <c r="B34" i="17"/>
  <c r="A36" i="14"/>
  <c r="B35" i="14" s="1"/>
  <c r="A36" i="9"/>
  <c r="B35" i="9" s="1"/>
  <c r="A35" i="8"/>
  <c r="B34" i="8" s="1"/>
  <c r="B34" i="5"/>
  <c r="B33" i="1"/>
  <c r="B35" i="15"/>
  <c r="B34" i="13"/>
  <c r="B33" i="13"/>
  <c r="B34" i="12"/>
  <c r="B34" i="6"/>
  <c r="B34" i="1"/>
  <c r="A36" i="17" l="1"/>
  <c r="B35" i="17" s="1"/>
  <c r="A37" i="14"/>
  <c r="B36" i="14" s="1"/>
  <c r="A37" i="9"/>
  <c r="B36" i="9" s="1"/>
  <c r="A36" i="8"/>
  <c r="B35" i="8" s="1"/>
  <c r="B35" i="5"/>
  <c r="B36" i="15"/>
  <c r="B36" i="11"/>
  <c r="B35" i="11"/>
  <c r="B36" i="10"/>
  <c r="B35" i="10"/>
  <c r="B35" i="6"/>
  <c r="B35" i="1"/>
  <c r="A37" i="17" l="1"/>
  <c r="B36" i="17" s="1"/>
  <c r="A38" i="14"/>
  <c r="B37" i="14" s="1"/>
  <c r="A38" i="9"/>
  <c r="B37" i="9" s="1"/>
  <c r="A37" i="8"/>
  <c r="B36" i="8" s="1"/>
  <c r="B36" i="5"/>
  <c r="B37" i="15"/>
  <c r="B36" i="13"/>
  <c r="B35" i="13"/>
  <c r="B36" i="12"/>
  <c r="B35" i="12"/>
  <c r="B37" i="10"/>
  <c r="B36" i="6"/>
  <c r="B36" i="1"/>
  <c r="A38" i="17" l="1"/>
  <c r="B37" i="17" s="1"/>
  <c r="A39" i="14"/>
  <c r="B38" i="14" s="1"/>
  <c r="A39" i="9"/>
  <c r="B38" i="9" s="1"/>
  <c r="A38" i="8"/>
  <c r="B37" i="8" s="1"/>
  <c r="B37" i="5"/>
  <c r="B38" i="15"/>
  <c r="B38" i="11"/>
  <c r="B37" i="11"/>
  <c r="B38" i="10"/>
  <c r="B37" i="6"/>
  <c r="A39" i="17" l="1"/>
  <c r="B38" i="17"/>
  <c r="A40" i="14"/>
  <c r="B39" i="14" s="1"/>
  <c r="A40" i="9"/>
  <c r="B39" i="9" s="1"/>
  <c r="A39" i="8"/>
  <c r="B38" i="8" s="1"/>
  <c r="B38" i="5"/>
  <c r="B37" i="1"/>
  <c r="B39" i="15"/>
  <c r="B38" i="13"/>
  <c r="B37" i="13"/>
  <c r="B38" i="12"/>
  <c r="B37" i="12"/>
  <c r="B39" i="10"/>
  <c r="B38" i="6"/>
  <c r="A40" i="17" l="1"/>
  <c r="B39" i="17" s="1"/>
  <c r="A41" i="14"/>
  <c r="B40" i="14" s="1"/>
  <c r="A41" i="9"/>
  <c r="B40" i="9" s="1"/>
  <c r="A40" i="8"/>
  <c r="B39" i="8" s="1"/>
  <c r="B39" i="5"/>
  <c r="B38" i="1"/>
  <c r="B40" i="15"/>
  <c r="B39" i="12"/>
  <c r="B40" i="11"/>
  <c r="B39" i="11"/>
  <c r="B40" i="10"/>
  <c r="B39" i="6"/>
  <c r="A41" i="17" l="1"/>
  <c r="B40" i="17" s="1"/>
  <c r="A42" i="14"/>
  <c r="B41" i="14" s="1"/>
  <c r="A42" i="9"/>
  <c r="B41" i="9" s="1"/>
  <c r="A41" i="8"/>
  <c r="B40" i="8" s="1"/>
  <c r="B40" i="5"/>
  <c r="B39" i="1"/>
  <c r="B41" i="15"/>
  <c r="B40" i="13"/>
  <c r="B39" i="13"/>
  <c r="B40" i="12"/>
  <c r="B41" i="10"/>
  <c r="B40" i="6"/>
  <c r="A42" i="17" l="1"/>
  <c r="B41" i="17" s="1"/>
  <c r="A43" i="14"/>
  <c r="B42" i="14" s="1"/>
  <c r="A43" i="9"/>
  <c r="B42" i="9" s="1"/>
  <c r="A42" i="8"/>
  <c r="B41" i="8" s="1"/>
  <c r="B41" i="5"/>
  <c r="B40" i="1"/>
  <c r="B42" i="15"/>
  <c r="B41" i="13"/>
  <c r="B42" i="11"/>
  <c r="B41" i="11"/>
  <c r="B42" i="10"/>
  <c r="B42" i="6"/>
  <c r="A43" i="17" l="1"/>
  <c r="B42" i="17" s="1"/>
  <c r="A44" i="14"/>
  <c r="B43" i="14" s="1"/>
  <c r="A44" i="9"/>
  <c r="B43" i="9" s="1"/>
  <c r="A43" i="8"/>
  <c r="B42" i="8" s="1"/>
  <c r="B42" i="5"/>
  <c r="B41" i="1"/>
  <c r="B42" i="13"/>
  <c r="B42" i="12"/>
  <c r="B41" i="12"/>
  <c r="B41" i="6"/>
  <c r="B43" i="6"/>
  <c r="A44" i="17" l="1"/>
  <c r="B43" i="17" s="1"/>
  <c r="A45" i="14"/>
  <c r="B44" i="14" s="1"/>
  <c r="A45" i="9"/>
  <c r="B44" i="9" s="1"/>
  <c r="A44" i="8"/>
  <c r="B43" i="8" s="1"/>
  <c r="B43" i="5"/>
  <c r="B42" i="1"/>
  <c r="B43" i="15"/>
  <c r="B44" i="15"/>
  <c r="B44" i="11"/>
  <c r="B43" i="11"/>
  <c r="B44" i="10"/>
  <c r="B43" i="10"/>
  <c r="B44" i="6"/>
  <c r="A45" i="17" l="1"/>
  <c r="B44" i="17" s="1"/>
  <c r="A46" i="14"/>
  <c r="B45" i="14" s="1"/>
  <c r="A46" i="9"/>
  <c r="B45" i="9" s="1"/>
  <c r="A45" i="8"/>
  <c r="B44" i="8" s="1"/>
  <c r="B44" i="5"/>
  <c r="B43" i="1"/>
  <c r="B46" i="15"/>
  <c r="B45" i="15"/>
  <c r="B44" i="13"/>
  <c r="B43" i="13"/>
  <c r="B44" i="12"/>
  <c r="B43" i="12"/>
  <c r="B45" i="10"/>
  <c r="B45" i="6"/>
  <c r="A46" i="17" l="1"/>
  <c r="B45" i="17" s="1"/>
  <c r="A47" i="14"/>
  <c r="B46" i="14" s="1"/>
  <c r="A47" i="9"/>
  <c r="B46" i="9" s="1"/>
  <c r="A46" i="8"/>
  <c r="B45" i="8" s="1"/>
  <c r="B45" i="5"/>
  <c r="B44" i="1"/>
  <c r="B47" i="15"/>
  <c r="B45" i="12"/>
  <c r="B46" i="11"/>
  <c r="B45" i="11"/>
  <c r="B46" i="10"/>
  <c r="B46" i="6"/>
  <c r="A47" i="17" l="1"/>
  <c r="B46" i="17" s="1"/>
  <c r="A48" i="14"/>
  <c r="B47" i="14" s="1"/>
  <c r="A48" i="9"/>
  <c r="B47" i="9" s="1"/>
  <c r="A47" i="8"/>
  <c r="B46" i="8" s="1"/>
  <c r="B46" i="5"/>
  <c r="B45" i="1"/>
  <c r="B48" i="15"/>
  <c r="B46" i="13"/>
  <c r="B45" i="13"/>
  <c r="B46" i="12"/>
  <c r="B47" i="6"/>
  <c r="A48" i="17" l="1"/>
  <c r="A49" i="14"/>
  <c r="A49" i="9"/>
  <c r="B48" i="9" s="1"/>
  <c r="A48" i="8"/>
  <c r="B47" i="8" s="1"/>
  <c r="B47" i="5"/>
  <c r="B46" i="1"/>
  <c r="B48" i="11"/>
  <c r="B47" i="11"/>
  <c r="B48" i="10"/>
  <c r="B47" i="10"/>
  <c r="B48" i="6"/>
  <c r="A49" i="17" l="1"/>
  <c r="B48" i="17" s="1"/>
  <c r="B47" i="17"/>
  <c r="A50" i="14"/>
  <c r="B49" i="14" s="1"/>
  <c r="B48" i="14"/>
  <c r="A50" i="9"/>
  <c r="B49" i="9" s="1"/>
  <c r="A49" i="8"/>
  <c r="B48" i="8" s="1"/>
  <c r="B48" i="5"/>
  <c r="B47" i="1"/>
  <c r="B50" i="15"/>
  <c r="B49" i="15"/>
  <c r="B48" i="13"/>
  <c r="B47" i="13"/>
  <c r="B48" i="12"/>
  <c r="B47" i="12"/>
  <c r="B49" i="10"/>
  <c r="B49" i="6"/>
  <c r="A50" i="17" l="1"/>
  <c r="B49" i="17" s="1"/>
  <c r="A51" i="14"/>
  <c r="B50" i="14" s="1"/>
  <c r="A51" i="9"/>
  <c r="B50" i="9" s="1"/>
  <c r="A50" i="8"/>
  <c r="B49" i="8" s="1"/>
  <c r="B49" i="5"/>
  <c r="B48" i="1"/>
  <c r="B50" i="11"/>
  <c r="B49" i="11"/>
  <c r="B50" i="10"/>
  <c r="B50" i="6"/>
  <c r="A51" i="17" l="1"/>
  <c r="B50" i="17" s="1"/>
  <c r="A52" i="14"/>
  <c r="B51" i="14" s="1"/>
  <c r="A52" i="9"/>
  <c r="B51" i="9" s="1"/>
  <c r="A51" i="8"/>
  <c r="B50" i="8" s="1"/>
  <c r="B50" i="5"/>
  <c r="B49" i="1"/>
  <c r="B52" i="15"/>
  <c r="B51" i="15"/>
  <c r="B50" i="13"/>
  <c r="B49" i="13"/>
  <c r="B50" i="12"/>
  <c r="B49" i="12"/>
  <c r="B51" i="6"/>
  <c r="A52" i="17" l="1"/>
  <c r="B51" i="17" s="1"/>
  <c r="A53" i="14"/>
  <c r="B52" i="14" s="1"/>
  <c r="A53" i="9"/>
  <c r="B52" i="9" s="1"/>
  <c r="A52" i="8"/>
  <c r="B51" i="8" s="1"/>
  <c r="B51" i="5"/>
  <c r="B50" i="1"/>
  <c r="B53" i="15"/>
  <c r="B51" i="12"/>
  <c r="B52" i="11"/>
  <c r="B51" i="11"/>
  <c r="B52" i="10"/>
  <c r="B51" i="10"/>
  <c r="B52" i="6"/>
  <c r="A53" i="17" l="1"/>
  <c r="B52" i="17"/>
  <c r="A54" i="14"/>
  <c r="B53" i="14" s="1"/>
  <c r="A54" i="9"/>
  <c r="B53" i="9" s="1"/>
  <c r="A53" i="8"/>
  <c r="B52" i="8" s="1"/>
  <c r="B52" i="5"/>
  <c r="B51" i="1"/>
  <c r="B54" i="15"/>
  <c r="B52" i="13"/>
  <c r="B51" i="13"/>
  <c r="B52" i="12"/>
  <c r="B53" i="10"/>
  <c r="B53" i="6"/>
  <c r="A54" i="17" l="1"/>
  <c r="B53" i="17" s="1"/>
  <c r="A55" i="14"/>
  <c r="B54" i="14" s="1"/>
  <c r="A55" i="9"/>
  <c r="B54" i="9" s="1"/>
  <c r="A54" i="8"/>
  <c r="B53" i="8" s="1"/>
  <c r="B53" i="5"/>
  <c r="B52" i="1"/>
  <c r="B55" i="15"/>
  <c r="B54" i="11"/>
  <c r="B53" i="11"/>
  <c r="B54" i="10"/>
  <c r="B54" i="6"/>
  <c r="A55" i="17" l="1"/>
  <c r="B54" i="17" s="1"/>
  <c r="A56" i="14"/>
  <c r="B55" i="14" s="1"/>
  <c r="A56" i="9"/>
  <c r="B55" i="9" s="1"/>
  <c r="A55" i="8"/>
  <c r="B54" i="8" s="1"/>
  <c r="B54" i="5"/>
  <c r="B53" i="1"/>
  <c r="B56" i="15"/>
  <c r="B54" i="13"/>
  <c r="B53" i="13"/>
  <c r="B54" i="12"/>
  <c r="B53" i="12"/>
  <c r="B55" i="6"/>
  <c r="A56" i="17" l="1"/>
  <c r="B55" i="17" s="1"/>
  <c r="A57" i="14"/>
  <c r="B56" i="14" s="1"/>
  <c r="A57" i="9"/>
  <c r="B56" i="9" s="1"/>
  <c r="A56" i="8"/>
  <c r="B55" i="8" s="1"/>
  <c r="B54" i="1"/>
  <c r="B57" i="15"/>
  <c r="B55" i="13"/>
  <c r="B56" i="11"/>
  <c r="B55" i="11"/>
  <c r="B56" i="10"/>
  <c r="B55" i="10"/>
  <c r="B56" i="6"/>
  <c r="A57" i="17" l="1"/>
  <c r="B56" i="17" s="1"/>
  <c r="A58" i="14"/>
  <c r="B57" i="14" s="1"/>
  <c r="A58" i="9"/>
  <c r="B57" i="9" s="1"/>
  <c r="A57" i="8"/>
  <c r="B56" i="8" s="1"/>
  <c r="B55" i="5"/>
  <c r="B55" i="1"/>
  <c r="B58" i="15"/>
  <c r="B56" i="13"/>
  <c r="B56" i="12"/>
  <c r="B55" i="12"/>
  <c r="B57" i="10"/>
  <c r="A58" i="17" l="1"/>
  <c r="B57" i="17" s="1"/>
  <c r="A59" i="14"/>
  <c r="B58" i="14" s="1"/>
  <c r="A59" i="9"/>
  <c r="B58" i="9" s="1"/>
  <c r="A58" i="8"/>
  <c r="B57" i="8" s="1"/>
  <c r="B56" i="5"/>
  <c r="B56" i="1"/>
  <c r="B59" i="15"/>
  <c r="B57" i="12"/>
  <c r="B58" i="11"/>
  <c r="B57" i="11"/>
  <c r="B58" i="10"/>
  <c r="B57" i="6"/>
  <c r="A59" i="17" l="1"/>
  <c r="B58" i="17" s="1"/>
  <c r="A60" i="14"/>
  <c r="B59" i="14" s="1"/>
  <c r="A60" i="9"/>
  <c r="B59" i="9" s="1"/>
  <c r="A59" i="8"/>
  <c r="B58" i="8" s="1"/>
  <c r="B57" i="5"/>
  <c r="B57" i="1"/>
  <c r="B60" i="15"/>
  <c r="B58" i="13"/>
  <c r="B57" i="13"/>
  <c r="B58" i="12"/>
  <c r="B58" i="6"/>
  <c r="A60" i="17" l="1"/>
  <c r="B59" i="17" s="1"/>
  <c r="A61" i="14"/>
  <c r="B60" i="14" s="1"/>
  <c r="A61" i="9"/>
  <c r="B60" i="9" s="1"/>
  <c r="A60" i="8"/>
  <c r="B59" i="8" s="1"/>
  <c r="B58" i="5"/>
  <c r="B58" i="1"/>
  <c r="B60" i="11"/>
  <c r="B59" i="11"/>
  <c r="B60" i="10"/>
  <c r="B59" i="10"/>
  <c r="B59" i="6"/>
  <c r="A61" i="17" l="1"/>
  <c r="B60" i="17" s="1"/>
  <c r="A62" i="14"/>
  <c r="B61" i="14" s="1"/>
  <c r="A62" i="9"/>
  <c r="B61" i="9" s="1"/>
  <c r="A61" i="8"/>
  <c r="B60" i="8" s="1"/>
  <c r="B60" i="5"/>
  <c r="B59" i="5"/>
  <c r="B59" i="1"/>
  <c r="B61" i="15"/>
  <c r="B60" i="13"/>
  <c r="B59" i="13"/>
  <c r="B60" i="12"/>
  <c r="B59" i="12"/>
  <c r="B61" i="10"/>
  <c r="B64" i="10" s="1"/>
  <c r="B61" i="6"/>
  <c r="B60" i="6"/>
  <c r="A62" i="17" l="1"/>
  <c r="B61" i="17" s="1"/>
  <c r="A63" i="14"/>
  <c r="B63" i="14" s="1"/>
  <c r="A63" i="9"/>
  <c r="B63" i="9" s="1"/>
  <c r="A62" i="8"/>
  <c r="B61" i="8" s="1"/>
  <c r="B64" i="6"/>
  <c r="B61" i="5"/>
  <c r="B60" i="1"/>
  <c r="B62" i="11"/>
  <c r="B61" i="11"/>
  <c r="A63" i="17" l="1"/>
  <c r="B63" i="17" s="1"/>
  <c r="B62" i="14"/>
  <c r="B64" i="14" s="1"/>
  <c r="B64" i="11"/>
  <c r="B62" i="9"/>
  <c r="B64" i="9" s="1"/>
  <c r="A63" i="8"/>
  <c r="B63" i="8" s="1"/>
  <c r="B62" i="5"/>
  <c r="B61" i="1"/>
  <c r="B62" i="13"/>
  <c r="B61" i="13"/>
  <c r="B61" i="12"/>
  <c r="B62" i="17" l="1"/>
  <c r="B62" i="8"/>
  <c r="B64" i="8" s="1"/>
  <c r="B63" i="5"/>
  <c r="B64" i="5" s="1"/>
  <c r="B62" i="1"/>
  <c r="B64" i="1" s="1"/>
  <c r="B63" i="13" l="1"/>
  <c r="B115" i="15" l="1"/>
  <c r="B115" i="14" l="1"/>
  <c r="B115" i="11"/>
  <c r="B115" i="10"/>
  <c r="B115" i="6"/>
  <c r="B115" i="17" l="1"/>
  <c r="B115" i="5"/>
  <c r="B115" i="1"/>
  <c r="B115" i="13"/>
</calcChain>
</file>

<file path=xl/sharedStrings.xml><?xml version="1.0" encoding="utf-8"?>
<sst xmlns="http://schemas.openxmlformats.org/spreadsheetml/2006/main" count="411" uniqueCount="136">
  <si>
    <t>media</t>
  </si>
  <si>
    <t>dest</t>
  </si>
  <si>
    <t>Dda</t>
  </si>
  <si>
    <t>DDAPROY</t>
  </si>
  <si>
    <t>Iteraciones</t>
  </si>
  <si>
    <t>Min</t>
  </si>
  <si>
    <t>Max</t>
  </si>
  <si>
    <t xml:space="preserve">Dda Uniforme </t>
  </si>
  <si>
    <t>Dda es uniforme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</si>
  <si>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</si>
  <si>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</si>
  <si>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</si>
  <si>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</si>
  <si>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</si>
  <si>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</si>
  <si>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</si>
  <si>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</si>
  <si>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</si>
  <si>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</si>
  <si>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</si>
  <si>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]</t>
  </si>
  <si>
    <t>[</t>
  </si>
  <si>
    <t>],</t>
  </si>
  <si>
    <t>Minimo</t>
  </si>
  <si>
    <t>MDF Y acrilico</t>
  </si>
  <si>
    <t>Al. 6mm</t>
  </si>
  <si>
    <t>Al. 5mm</t>
  </si>
  <si>
    <t>Al. 4mm</t>
  </si>
  <si>
    <t>Al. 3mm</t>
  </si>
  <si>
    <t>Al. 2,5mm</t>
  </si>
  <si>
    <t>Al. 2mm</t>
  </si>
  <si>
    <t>Al. 1,5mm</t>
  </si>
  <si>
    <t>Al. 1mm</t>
  </si>
  <si>
    <t>Inox 15mm</t>
  </si>
  <si>
    <t>Inox 12mm</t>
  </si>
  <si>
    <t>Inox 10mm</t>
  </si>
  <si>
    <t>Inox 8mm</t>
  </si>
  <si>
    <t>Inox 6mm</t>
  </si>
  <si>
    <t>Inox 5mm</t>
  </si>
  <si>
    <t>Inox 4mm</t>
  </si>
  <si>
    <t>Inox 3mm</t>
  </si>
  <si>
    <t>Inox 2,5mm</t>
  </si>
  <si>
    <t>Inox 2mm</t>
  </si>
  <si>
    <t>Inox 1,5mm</t>
  </si>
  <si>
    <t>Inox 1mm</t>
  </si>
  <si>
    <t>Fe 20mm</t>
  </si>
  <si>
    <t>Fe 15mm</t>
  </si>
  <si>
    <t>Fe 12mm</t>
  </si>
  <si>
    <t>Fe 10mm</t>
  </si>
  <si>
    <t>Fe 8mm</t>
  </si>
  <si>
    <t>Fe 6mm</t>
  </si>
  <si>
    <t>Fe 5mm</t>
  </si>
  <si>
    <t>Fe 4mm</t>
  </si>
  <si>
    <t>Fe 3mm</t>
  </si>
  <si>
    <t>Fe 2,5mm</t>
  </si>
  <si>
    <t>Fe 2mm</t>
  </si>
  <si>
    <t>Fe 1,5mm</t>
  </si>
  <si>
    <t>Fe 1mm</t>
  </si>
  <si>
    <t>Material</t>
  </si>
  <si>
    <t>Pi\Mi</t>
  </si>
  <si>
    <t>Al 2mm</t>
  </si>
  <si>
    <t>Al 4mm</t>
  </si>
  <si>
    <t>Al 6mm</t>
  </si>
  <si>
    <t>MDF</t>
  </si>
  <si>
    <t>Cu</t>
  </si>
  <si>
    <t>Distributions</t>
  </si>
  <si>
    <t>Eficiencia Eléctrica</t>
  </si>
  <si>
    <t>Eficiencia Corte láser</t>
  </si>
  <si>
    <t>CO2</t>
  </si>
  <si>
    <t>Fiber</t>
  </si>
  <si>
    <t xml:space="preserve"> Pro 3015</t>
  </si>
  <si>
    <t xml:space="preserve"> Pro 4020</t>
  </si>
  <si>
    <t>Fiber 3015</t>
  </si>
  <si>
    <t>Fiber 4020</t>
  </si>
  <si>
    <t>Fiber 6520</t>
  </si>
  <si>
    <t>Fiber 8020</t>
  </si>
  <si>
    <t>Unidades</t>
  </si>
  <si>
    <t>Velocidad posicionamiento máxima paralela eje x</t>
  </si>
  <si>
    <t>m/min</t>
  </si>
  <si>
    <t>Velocidad posicionamiento máxima simultánea</t>
  </si>
  <si>
    <t>Divergencia de posición Pa*</t>
  </si>
  <si>
    <t>mm</t>
  </si>
  <si>
    <t>Ancho de dispersión posición Ps*</t>
  </si>
  <si>
    <t>t0</t>
  </si>
  <si>
    <t>Potencia</t>
  </si>
  <si>
    <t>W</t>
  </si>
  <si>
    <t>cp inox</t>
  </si>
  <si>
    <t>Margen de regulación</t>
  </si>
  <si>
    <t>15-4400</t>
  </si>
  <si>
    <t>150-6000</t>
  </si>
  <si>
    <t>200-2000</t>
  </si>
  <si>
    <t>300-3000</t>
  </si>
  <si>
    <t>400-4000</t>
  </si>
  <si>
    <t>600-6000</t>
  </si>
  <si>
    <t>cp acero</t>
  </si>
  <si>
    <t>Grosores máximos de chapa</t>
  </si>
  <si>
    <t>cp aluminio</t>
  </si>
  <si>
    <t>Acero O2</t>
  </si>
  <si>
    <t>tf inox</t>
  </si>
  <si>
    <t>Acero N2</t>
  </si>
  <si>
    <t>-</t>
  </si>
  <si>
    <t>tf acero</t>
  </si>
  <si>
    <t>B1</t>
  </si>
  <si>
    <t>B2</t>
  </si>
  <si>
    <t>A1</t>
  </si>
  <si>
    <t>A2</t>
  </si>
  <si>
    <t>A3</t>
  </si>
  <si>
    <t>Inox</t>
  </si>
  <si>
    <t>tf aluminio</t>
  </si>
  <si>
    <t>Aluminio</t>
  </si>
  <si>
    <t>H inox</t>
  </si>
  <si>
    <t>Latón</t>
  </si>
  <si>
    <t>Hacero</t>
  </si>
  <si>
    <t>Cobre</t>
  </si>
  <si>
    <t>Haluminio</t>
  </si>
  <si>
    <t>Consumo eléctrico instalación completa</t>
  </si>
  <si>
    <t>kW</t>
  </si>
  <si>
    <t>Eficiencia</t>
  </si>
  <si>
    <t>Ancho de corte</t>
  </si>
  <si>
    <t>cos 70</t>
  </si>
  <si>
    <t>1 a 3</t>
  </si>
  <si>
    <t>4 a 8</t>
  </si>
  <si>
    <t>10 a 15</t>
  </si>
  <si>
    <t>Densidad Material</t>
  </si>
  <si>
    <t>Acero1020</t>
  </si>
  <si>
    <t>Entalpia</t>
  </si>
  <si>
    <t xml:space="preserve">[ 6.81 </t>
  </si>
  <si>
    <t>10.00 ],</t>
  </si>
  <si>
    <t>Espesores</t>
  </si>
  <si>
    <t>Tipo Laser</t>
  </si>
  <si>
    <t xml:space="preserve"> [10</t>
  </si>
  <si>
    <t>41.90],</t>
  </si>
  <si>
    <t>Material/Potencia</t>
  </si>
  <si>
    <t>4400-CO2</t>
  </si>
  <si>
    <t>6000-CO2</t>
  </si>
  <si>
    <t>Acero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</si>
</sst>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 * #,##0_ ;_ * \-#,##0_ ;_ * &quot;-&quot;_ ;_ @_ "/>
    <numFmt numFmtId="43" formatCode="_ * #,##0.00_ ;_ * \-#,##0.00_ ;_ * &quot;-&quot;??_ ;_ @_ "/>
    <numFmt numFmtId="164" formatCode="_ * #,##0.0000_ ;_ * \-#,##0.0000_ ;_ * &quot;-&quot;_ ;_ @_ "/>
    <numFmt numFmtId="166" formatCode="_ * #,##0_ ;_ * \-#,##0_ ;_ * &quot;-&quot;_ ;_ @_ "/>
    <numFmt numFmtId="169" formatCode="_ * #,##0.00_ ;_ * \-#,##0.00_ ;_ * &quot;-&quot;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41" fontId="1" fillId="0" borderId="0" applyFont="0" applyFill="0" applyBorder="0" applyAlignment="0" applyProtection="0"/>
    <xf numFmtId="0" fontId="3" fillId="0" borderId="0"/>
    <xf numFmtId="41" fontId="3" fillId="0" borderId="0" applyFont="0" applyFill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166" fontId="1" fillId="0" borderId="0" applyFont="0" applyFill="0" applyBorder="0" applyAlignment="0" applyProtection="0"/>
  </cellStyleXfs>
  <cellXfs count="148">
    <xf numFmtId="0" fontId="0" fillId="0" borderId="0" xfId="0"/>
    <xf numFmtId="41" fontId="0" fillId="0" borderId="0" xfId="1" applyFont="1"/>
    <xf numFmtId="4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3" fontId="0" fillId="0" borderId="0" xfId="1" applyNumberFormat="1" applyFont="1"/>
    <xf numFmtId="0" fontId="0" fillId="0" borderId="0" xfId="0" applyNumberFormat="1"/>
    <xf numFmtId="0" fontId="3" fillId="0" borderId="0" xfId="2"/>
    <xf numFmtId="41" fontId="3" fillId="0" borderId="10" xfId="2" applyNumberFormat="1" applyBorder="1"/>
    <xf numFmtId="41" fontId="3" fillId="0" borderId="11" xfId="2" applyNumberFormat="1" applyBorder="1"/>
    <xf numFmtId="0" fontId="3" fillId="0" borderId="13" xfId="2" applyBorder="1"/>
    <xf numFmtId="41" fontId="3" fillId="0" borderId="14" xfId="2" applyNumberFormat="1" applyBorder="1"/>
    <xf numFmtId="41" fontId="3" fillId="0" borderId="15" xfId="2" applyNumberFormat="1" applyBorder="1"/>
    <xf numFmtId="0" fontId="3" fillId="0" borderId="17" xfId="2" applyBorder="1"/>
    <xf numFmtId="41" fontId="3" fillId="0" borderId="18" xfId="2" applyNumberFormat="1" applyBorder="1"/>
    <xf numFmtId="41" fontId="3" fillId="0" borderId="19" xfId="2" applyNumberFormat="1" applyBorder="1"/>
    <xf numFmtId="0" fontId="3" fillId="0" borderId="21" xfId="2" applyBorder="1"/>
    <xf numFmtId="41" fontId="3" fillId="0" borderId="22" xfId="2" applyNumberFormat="1" applyBorder="1"/>
    <xf numFmtId="41" fontId="3" fillId="0" borderId="23" xfId="2" applyNumberFormat="1" applyBorder="1"/>
    <xf numFmtId="0" fontId="3" fillId="0" borderId="25" xfId="2" applyBorder="1"/>
    <xf numFmtId="41" fontId="3" fillId="0" borderId="26" xfId="2" applyNumberFormat="1" applyBorder="1"/>
    <xf numFmtId="41" fontId="3" fillId="0" borderId="27" xfId="2" applyNumberFormat="1" applyBorder="1"/>
    <xf numFmtId="0" fontId="3" fillId="0" borderId="29" xfId="2" applyBorder="1"/>
    <xf numFmtId="164" fontId="3" fillId="0" borderId="0" xfId="2" applyNumberFormat="1"/>
    <xf numFmtId="0" fontId="3" fillId="0" borderId="14" xfId="2" applyBorder="1"/>
    <xf numFmtId="0" fontId="3" fillId="0" borderId="15" xfId="2" applyBorder="1"/>
    <xf numFmtId="0" fontId="3" fillId="2" borderId="0" xfId="2" applyFill="1"/>
    <xf numFmtId="0" fontId="3" fillId="2" borderId="16" xfId="2" applyFill="1" applyBorder="1"/>
    <xf numFmtId="0" fontId="3" fillId="2" borderId="15" xfId="2" applyFill="1" applyBorder="1"/>
    <xf numFmtId="41" fontId="0" fillId="2" borderId="28" xfId="3" applyFont="1" applyFill="1" applyBorder="1"/>
    <xf numFmtId="41" fontId="0" fillId="2" borderId="27" xfId="3" applyFont="1" applyFill="1" applyBorder="1"/>
    <xf numFmtId="41" fontId="0" fillId="2" borderId="24" xfId="3" applyFont="1" applyFill="1" applyBorder="1"/>
    <xf numFmtId="41" fontId="0" fillId="2" borderId="23" xfId="3" applyFont="1" applyFill="1" applyBorder="1"/>
    <xf numFmtId="41" fontId="0" fillId="2" borderId="20" xfId="3" applyFont="1" applyFill="1" applyBorder="1"/>
    <xf numFmtId="41" fontId="0" fillId="2" borderId="19" xfId="3" applyFont="1" applyFill="1" applyBorder="1"/>
    <xf numFmtId="41" fontId="0" fillId="2" borderId="16" xfId="3" applyFont="1" applyFill="1" applyBorder="1"/>
    <xf numFmtId="41" fontId="0" fillId="2" borderId="15" xfId="3" applyFont="1" applyFill="1" applyBorder="1"/>
    <xf numFmtId="41" fontId="0" fillId="2" borderId="12" xfId="3" applyFont="1" applyFill="1" applyBorder="1"/>
    <xf numFmtId="41" fontId="0" fillId="2" borderId="11" xfId="3" applyFont="1" applyFill="1" applyBorder="1"/>
    <xf numFmtId="41" fontId="3" fillId="0" borderId="0" xfId="2" applyNumberFormat="1"/>
    <xf numFmtId="2" fontId="0" fillId="3" borderId="0" xfId="0" applyNumberFormat="1" applyFill="1"/>
    <xf numFmtId="2" fontId="0" fillId="3" borderId="17" xfId="0" applyNumberFormat="1" applyFill="1" applyBorder="1"/>
    <xf numFmtId="2" fontId="0" fillId="3" borderId="30" xfId="0" applyNumberFormat="1" applyFill="1" applyBorder="1"/>
    <xf numFmtId="0" fontId="0" fillId="3" borderId="0" xfId="0" applyFill="1"/>
    <xf numFmtId="0" fontId="0" fillId="3" borderId="30" xfId="0" applyFill="1" applyBorder="1"/>
    <xf numFmtId="0" fontId="0" fillId="3" borderId="13" xfId="0" applyFill="1" applyBorder="1"/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169" fontId="0" fillId="3" borderId="15" xfId="10" applyNumberFormat="1" applyFont="1" applyFill="1" applyBorder="1" applyAlignment="1">
      <alignment horizontal="center"/>
    </xf>
    <xf numFmtId="169" fontId="0" fillId="3" borderId="16" xfId="10" applyNumberFormat="1" applyFont="1" applyFill="1" applyBorder="1" applyAlignment="1">
      <alignment horizontal="center"/>
    </xf>
    <xf numFmtId="169" fontId="0" fillId="3" borderId="14" xfId="10" applyNumberFormat="1" applyFont="1" applyFill="1" applyBorder="1" applyAlignment="1">
      <alignment horizontal="center"/>
    </xf>
    <xf numFmtId="169" fontId="0" fillId="3" borderId="31" xfId="10" applyNumberFormat="1" applyFont="1" applyFill="1" applyBorder="1" applyAlignment="1">
      <alignment horizontal="center"/>
    </xf>
    <xf numFmtId="0" fontId="0" fillId="0" borderId="0" xfId="0"/>
    <xf numFmtId="0" fontId="0" fillId="3" borderId="0" xfId="0" applyFill="1"/>
    <xf numFmtId="9" fontId="0" fillId="3" borderId="0" xfId="0" applyNumberFormat="1" applyFill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3" borderId="0" xfId="0" applyNumberFormat="1" applyFill="1"/>
    <xf numFmtId="0" fontId="0" fillId="3" borderId="0" xfId="0" applyNumberFormat="1" applyFill="1"/>
    <xf numFmtId="0" fontId="0" fillId="10" borderId="0" xfId="0" applyFill="1"/>
    <xf numFmtId="169" fontId="0" fillId="3" borderId="17" xfId="10" applyNumberFormat="1" applyFont="1" applyFill="1" applyBorder="1"/>
    <xf numFmtId="166" fontId="0" fillId="3" borderId="31" xfId="10" applyNumberFormat="1" applyFont="1" applyFill="1" applyBorder="1"/>
    <xf numFmtId="166" fontId="0" fillId="3" borderId="14" xfId="10" applyNumberFormat="1" applyFont="1" applyFill="1" applyBorder="1"/>
    <xf numFmtId="166" fontId="0" fillId="3" borderId="16" xfId="10" applyNumberFormat="1" applyFont="1" applyFill="1" applyBorder="1"/>
    <xf numFmtId="166" fontId="0" fillId="3" borderId="15" xfId="10" applyNumberFormat="1" applyFont="1" applyFill="1" applyBorder="1"/>
    <xf numFmtId="0" fontId="0" fillId="3" borderId="0" xfId="0" applyFill="1" applyAlignment="1">
      <alignment horizontal="center" vertical="center"/>
    </xf>
    <xf numFmtId="169" fontId="0" fillId="0" borderId="29" xfId="10" applyNumberFormat="1" applyFont="1" applyBorder="1"/>
    <xf numFmtId="169" fontId="0" fillId="3" borderId="32" xfId="10" applyNumberFormat="1" applyFont="1" applyFill="1" applyBorder="1"/>
    <xf numFmtId="169" fontId="0" fillId="3" borderId="26" xfId="10" applyNumberFormat="1" applyFont="1" applyFill="1" applyBorder="1"/>
    <xf numFmtId="169" fontId="0" fillId="3" borderId="28" xfId="10" applyNumberFormat="1" applyFont="1" applyFill="1" applyBorder="1"/>
    <xf numFmtId="169" fontId="0" fillId="3" borderId="27" xfId="10" applyNumberFormat="1" applyFont="1" applyFill="1" applyBorder="1"/>
    <xf numFmtId="169" fontId="0" fillId="0" borderId="25" xfId="10" applyNumberFormat="1" applyFont="1" applyBorder="1"/>
    <xf numFmtId="169" fontId="0" fillId="3" borderId="33" xfId="10" applyNumberFormat="1" applyFont="1" applyFill="1" applyBorder="1"/>
    <xf numFmtId="169" fontId="0" fillId="3" borderId="22" xfId="10" applyNumberFormat="1" applyFont="1" applyFill="1" applyBorder="1"/>
    <xf numFmtId="169" fontId="0" fillId="3" borderId="24" xfId="10" applyNumberFormat="1" applyFont="1" applyFill="1" applyBorder="1"/>
    <xf numFmtId="169" fontId="0" fillId="3" borderId="23" xfId="10" applyNumberFormat="1" applyFont="1" applyFill="1" applyBorder="1"/>
    <xf numFmtId="0" fontId="0" fillId="0" borderId="34" xfId="0" applyBorder="1"/>
    <xf numFmtId="0" fontId="0" fillId="10" borderId="23" xfId="0" applyFill="1" applyBorder="1"/>
    <xf numFmtId="0" fontId="0" fillId="0" borderId="23" xfId="0" applyBorder="1"/>
    <xf numFmtId="0" fontId="0" fillId="3" borderId="33" xfId="0" applyFill="1" applyBorder="1"/>
    <xf numFmtId="0" fontId="0" fillId="3" borderId="22" xfId="0" applyFill="1" applyBorder="1"/>
    <xf numFmtId="0" fontId="0" fillId="3" borderId="24" xfId="0" applyFill="1" applyBorder="1"/>
    <xf numFmtId="0" fontId="0" fillId="3" borderId="23" xfId="0" applyFill="1" applyBorder="1"/>
    <xf numFmtId="2" fontId="0" fillId="3" borderId="30" xfId="0" applyNumberFormat="1" applyFill="1" applyBorder="1"/>
    <xf numFmtId="0" fontId="0" fillId="3" borderId="30" xfId="0" applyFill="1" applyBorder="1"/>
    <xf numFmtId="0" fontId="0" fillId="3" borderId="13" xfId="0" applyFill="1" applyBorder="1"/>
    <xf numFmtId="2" fontId="0" fillId="3" borderId="17" xfId="0" applyNumberFormat="1" applyFill="1" applyBorder="1"/>
    <xf numFmtId="2" fontId="0" fillId="3" borderId="36" xfId="0" applyNumberFormat="1" applyFill="1" applyBorder="1"/>
    <xf numFmtId="2" fontId="0" fillId="3" borderId="37" xfId="0" applyNumberFormat="1" applyFill="1" applyBorder="1"/>
    <xf numFmtId="2" fontId="0" fillId="3" borderId="38" xfId="0" applyNumberFormat="1" applyFill="1" applyBorder="1" applyAlignment="1">
      <alignment horizontal="right"/>
    </xf>
    <xf numFmtId="2" fontId="0" fillId="3" borderId="39" xfId="0" applyNumberFormat="1" applyFill="1" applyBorder="1" applyAlignment="1">
      <alignment horizontal="right"/>
    </xf>
    <xf numFmtId="2" fontId="0" fillId="3" borderId="40" xfId="0" applyNumberFormat="1" applyFill="1" applyBorder="1" applyAlignment="1">
      <alignment horizontal="right"/>
    </xf>
    <xf numFmtId="2" fontId="0" fillId="3" borderId="41" xfId="0" applyNumberFormat="1" applyFill="1" applyBorder="1" applyAlignment="1">
      <alignment horizontal="right"/>
    </xf>
    <xf numFmtId="2" fontId="0" fillId="3" borderId="0" xfId="0" applyNumberFormat="1" applyFill="1" applyBorder="1" applyAlignment="1">
      <alignment horizontal="right"/>
    </xf>
    <xf numFmtId="2" fontId="0" fillId="3" borderId="42" xfId="0" applyNumberFormat="1" applyFill="1" applyBorder="1" applyAlignment="1">
      <alignment horizontal="right"/>
    </xf>
    <xf numFmtId="2" fontId="0" fillId="3" borderId="43" xfId="0" applyNumberFormat="1" applyFill="1" applyBorder="1" applyAlignment="1">
      <alignment horizontal="right"/>
    </xf>
    <xf numFmtId="2" fontId="0" fillId="3" borderId="44" xfId="0" applyNumberFormat="1" applyFill="1" applyBorder="1" applyAlignment="1">
      <alignment horizontal="right"/>
    </xf>
    <xf numFmtId="2" fontId="0" fillId="3" borderId="45" xfId="0" applyNumberFormat="1" applyFill="1" applyBorder="1" applyAlignment="1">
      <alignment horizontal="right"/>
    </xf>
    <xf numFmtId="169" fontId="4" fillId="7" borderId="25" xfId="7" applyNumberFormat="1" applyBorder="1"/>
    <xf numFmtId="169" fontId="4" fillId="7" borderId="33" xfId="7" applyNumberFormat="1" applyBorder="1"/>
    <xf numFmtId="169" fontId="4" fillId="7" borderId="22" xfId="7" applyNumberFormat="1" applyBorder="1"/>
    <xf numFmtId="169" fontId="4" fillId="7" borderId="24" xfId="7" applyNumberFormat="1" applyBorder="1"/>
    <xf numFmtId="169" fontId="4" fillId="7" borderId="23" xfId="7" applyNumberFormat="1" applyBorder="1"/>
    <xf numFmtId="169" fontId="4" fillId="5" borderId="25" xfId="5" applyNumberFormat="1" applyBorder="1"/>
    <xf numFmtId="169" fontId="4" fillId="5" borderId="33" xfId="5" applyNumberFormat="1" applyBorder="1"/>
    <xf numFmtId="169" fontId="4" fillId="5" borderId="22" xfId="5" applyNumberFormat="1" applyBorder="1"/>
    <xf numFmtId="169" fontId="4" fillId="5" borderId="24" xfId="5" applyNumberFormat="1" applyBorder="1"/>
    <xf numFmtId="169" fontId="4" fillId="5" borderId="23" xfId="5" applyNumberFormat="1" applyBorder="1"/>
    <xf numFmtId="169" fontId="4" fillId="8" borderId="25" xfId="8" applyNumberFormat="1" applyBorder="1"/>
    <xf numFmtId="169" fontId="4" fillId="8" borderId="33" xfId="8" applyNumberFormat="1" applyBorder="1"/>
    <xf numFmtId="169" fontId="4" fillId="8" borderId="22" xfId="8" applyNumberFormat="1" applyBorder="1"/>
    <xf numFmtId="169" fontId="4" fillId="8" borderId="24" xfId="8" applyNumberFormat="1" applyBorder="1"/>
    <xf numFmtId="169" fontId="4" fillId="8" borderId="23" xfId="8" applyNumberFormat="1" applyBorder="1"/>
    <xf numFmtId="169" fontId="4" fillId="6" borderId="25" xfId="6" applyNumberFormat="1" applyBorder="1"/>
    <xf numFmtId="169" fontId="4" fillId="6" borderId="33" xfId="6" applyNumberFormat="1" applyBorder="1"/>
    <xf numFmtId="169" fontId="4" fillId="6" borderId="22" xfId="6" applyNumberFormat="1" applyBorder="1"/>
    <xf numFmtId="169" fontId="4" fillId="6" borderId="24" xfId="6" applyNumberFormat="1" applyBorder="1"/>
    <xf numFmtId="169" fontId="4" fillId="6" borderId="23" xfId="6" applyNumberFormat="1" applyBorder="1"/>
    <xf numFmtId="169" fontId="4" fillId="9" borderId="25" xfId="9" applyNumberFormat="1" applyBorder="1"/>
    <xf numFmtId="169" fontId="4" fillId="9" borderId="33" xfId="9" applyNumberFormat="1" applyBorder="1"/>
    <xf numFmtId="169" fontId="4" fillId="9" borderId="22" xfId="9" applyNumberFormat="1" applyBorder="1"/>
    <xf numFmtId="169" fontId="4" fillId="9" borderId="24" xfId="9" applyNumberFormat="1" applyBorder="1"/>
    <xf numFmtId="169" fontId="4" fillId="9" borderId="23" xfId="9" applyNumberFormat="1" applyBorder="1"/>
    <xf numFmtId="169" fontId="4" fillId="4" borderId="25" xfId="4" applyNumberFormat="1" applyBorder="1"/>
    <xf numFmtId="169" fontId="4" fillId="4" borderId="33" xfId="4" applyNumberFormat="1" applyBorder="1"/>
    <xf numFmtId="169" fontId="4" fillId="4" borderId="22" xfId="4" applyNumberFormat="1" applyBorder="1"/>
    <xf numFmtId="169" fontId="4" fillId="4" borderId="24" xfId="4" applyNumberFormat="1" applyBorder="1"/>
    <xf numFmtId="169" fontId="4" fillId="4" borderId="23" xfId="4" applyNumberFormat="1" applyBorder="1"/>
    <xf numFmtId="0" fontId="4" fillId="9" borderId="33" xfId="9" applyBorder="1"/>
    <xf numFmtId="0" fontId="4" fillId="9" borderId="22" xfId="9" applyBorder="1"/>
    <xf numFmtId="0" fontId="4" fillId="9" borderId="24" xfId="9" applyBorder="1"/>
    <xf numFmtId="0" fontId="4" fillId="9" borderId="23" xfId="9" applyBorder="1"/>
    <xf numFmtId="0" fontId="4" fillId="6" borderId="33" xfId="6" applyBorder="1"/>
    <xf numFmtId="0" fontId="4" fillId="6" borderId="22" xfId="6" applyBorder="1"/>
    <xf numFmtId="0" fontId="4" fillId="6" borderId="24" xfId="6" applyBorder="1"/>
    <xf numFmtId="0" fontId="4" fillId="6" borderId="23" xfId="6" applyBorder="1"/>
    <xf numFmtId="169" fontId="4" fillId="5" borderId="21" xfId="5" applyNumberFormat="1" applyBorder="1"/>
    <xf numFmtId="0" fontId="4" fillId="5" borderId="35" xfId="5" applyBorder="1"/>
    <xf numFmtId="0" fontId="4" fillId="5" borderId="18" xfId="5" applyBorder="1"/>
    <xf numFmtId="0" fontId="4" fillId="5" borderId="20" xfId="5" applyBorder="1"/>
    <xf numFmtId="0" fontId="4" fillId="5" borderId="19" xfId="5" applyBorder="1"/>
  </cellXfs>
  <cellStyles count="11">
    <cellStyle name="Comma [0] 2" xfId="3" xr:uid="{B217D3D0-2E37-434B-8EC1-C20B0A36CA55}"/>
    <cellStyle name="Énfasis1" xfId="4" builtinId="29"/>
    <cellStyle name="Énfasis2" xfId="5" builtinId="33"/>
    <cellStyle name="Énfasis3" xfId="6" builtinId="37"/>
    <cellStyle name="Énfasis4" xfId="7" builtinId="41"/>
    <cellStyle name="Énfasis5" xfId="8" builtinId="45"/>
    <cellStyle name="Énfasis6" xfId="9" builtinId="49"/>
    <cellStyle name="Millares [0]" xfId="1" builtinId="6"/>
    <cellStyle name="Millares [0] 2" xfId="10" xr:uid="{3786BE95-DE2E-4C43-8A37-8534F0367D46}"/>
    <cellStyle name="Normal" xfId="0" builtinId="0"/>
    <cellStyle name="Normal 2" xfId="2" xr:uid="{821BAC49-1A93-43BB-A8AC-A75138B1C44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'P1'!$A$13:$A$63</c:f>
              <c:numCache>
                <c:formatCode>_-* #.##0,00_-;\-* #.##0,00_-;_-* "-"??_-;_-@_-</c:formatCode>
                <c:ptCount val="51"/>
                <c:pt idx="0" formatCode="_-* #.##0_-;\-* #.##0_-;_-* &quot;-&quot;_-;_-@_-">
                  <c:v>29814</c:v>
                </c:pt>
                <c:pt idx="1">
                  <c:v>31450.890096938798</c:v>
                </c:pt>
                <c:pt idx="2">
                  <c:v>33087.780193877596</c:v>
                </c:pt>
                <c:pt idx="3">
                  <c:v>34724.670290816393</c:v>
                </c:pt>
                <c:pt idx="4">
                  <c:v>36361.560387755191</c:v>
                </c:pt>
                <c:pt idx="5">
                  <c:v>37998.450484693989</c:v>
                </c:pt>
                <c:pt idx="6">
                  <c:v>39635.340581632787</c:v>
                </c:pt>
                <c:pt idx="7">
                  <c:v>41272.230678571585</c:v>
                </c:pt>
                <c:pt idx="8">
                  <c:v>42909.120775510382</c:v>
                </c:pt>
                <c:pt idx="9">
                  <c:v>44546.01087244918</c:v>
                </c:pt>
                <c:pt idx="10">
                  <c:v>46182.900969387978</c:v>
                </c:pt>
                <c:pt idx="11">
                  <c:v>47819.791066326776</c:v>
                </c:pt>
                <c:pt idx="12">
                  <c:v>49456.681163265574</c:v>
                </c:pt>
                <c:pt idx="13">
                  <c:v>51093.571260204371</c:v>
                </c:pt>
                <c:pt idx="14">
                  <c:v>52730.461357143169</c:v>
                </c:pt>
                <c:pt idx="15">
                  <c:v>54367.351454081967</c:v>
                </c:pt>
                <c:pt idx="16">
                  <c:v>56004.241551020765</c:v>
                </c:pt>
                <c:pt idx="17">
                  <c:v>57641.131647959563</c:v>
                </c:pt>
                <c:pt idx="18">
                  <c:v>59278.02174489836</c:v>
                </c:pt>
                <c:pt idx="19">
                  <c:v>60914.911841837158</c:v>
                </c:pt>
                <c:pt idx="20">
                  <c:v>62551.801938775956</c:v>
                </c:pt>
                <c:pt idx="21">
                  <c:v>64188.692035714754</c:v>
                </c:pt>
                <c:pt idx="22">
                  <c:v>65825.582132653552</c:v>
                </c:pt>
                <c:pt idx="23">
                  <c:v>67462.472229592357</c:v>
                </c:pt>
                <c:pt idx="24">
                  <c:v>69099.362326531162</c:v>
                </c:pt>
                <c:pt idx="25">
                  <c:v>70736.252423469967</c:v>
                </c:pt>
                <c:pt idx="26">
                  <c:v>72373.142520408772</c:v>
                </c:pt>
                <c:pt idx="27">
                  <c:v>74010.032617347577</c:v>
                </c:pt>
                <c:pt idx="28">
                  <c:v>75646.922714286382</c:v>
                </c:pt>
                <c:pt idx="29">
                  <c:v>77283.812811225187</c:v>
                </c:pt>
                <c:pt idx="30">
                  <c:v>78920.702908163992</c:v>
                </c:pt>
                <c:pt idx="31">
                  <c:v>80557.593005102797</c:v>
                </c:pt>
                <c:pt idx="32">
                  <c:v>82194.483102041602</c:v>
                </c:pt>
                <c:pt idx="33">
                  <c:v>83831.373198980407</c:v>
                </c:pt>
                <c:pt idx="34">
                  <c:v>85468.263295919212</c:v>
                </c:pt>
                <c:pt idx="35">
                  <c:v>87105.153392858017</c:v>
                </c:pt>
                <c:pt idx="36">
                  <c:v>88742.043489796823</c:v>
                </c:pt>
                <c:pt idx="37">
                  <c:v>90378.933586735628</c:v>
                </c:pt>
                <c:pt idx="38">
                  <c:v>92015.823683674433</c:v>
                </c:pt>
                <c:pt idx="39">
                  <c:v>93652.713780613238</c:v>
                </c:pt>
                <c:pt idx="40">
                  <c:v>95289.603877552043</c:v>
                </c:pt>
                <c:pt idx="41">
                  <c:v>96926.493974490848</c:v>
                </c:pt>
                <c:pt idx="42">
                  <c:v>98563.384071429653</c:v>
                </c:pt>
                <c:pt idx="43">
                  <c:v>100200.27416836846</c:v>
                </c:pt>
                <c:pt idx="44">
                  <c:v>101837.16426530726</c:v>
                </c:pt>
                <c:pt idx="45">
                  <c:v>103474.05436224607</c:v>
                </c:pt>
                <c:pt idx="46">
                  <c:v>105110.94445918487</c:v>
                </c:pt>
                <c:pt idx="47">
                  <c:v>106747.83455612368</c:v>
                </c:pt>
                <c:pt idx="48">
                  <c:v>108384.72465306248</c:v>
                </c:pt>
                <c:pt idx="49">
                  <c:v>110021.61475000129</c:v>
                </c:pt>
                <c:pt idx="50">
                  <c:v>111658.50484694009</c:v>
                </c:pt>
              </c:numCache>
            </c:numRef>
          </c:cat>
          <c:val>
            <c:numRef>
              <c:f>'P1'!$B$13:$B$63</c:f>
              <c:numCache>
                <c:formatCode>Estándar</c:formatCode>
                <c:ptCount val="5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16</c:v>
                </c:pt>
                <c:pt idx="14">
                  <c:v>19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35</c:v>
                </c:pt>
                <c:pt idx="19">
                  <c:v>30</c:v>
                </c:pt>
                <c:pt idx="20">
                  <c:v>39</c:v>
                </c:pt>
                <c:pt idx="21">
                  <c:v>28</c:v>
                </c:pt>
                <c:pt idx="22">
                  <c:v>47</c:v>
                </c:pt>
                <c:pt idx="23">
                  <c:v>49</c:v>
                </c:pt>
                <c:pt idx="24">
                  <c:v>71</c:v>
                </c:pt>
                <c:pt idx="25">
                  <c:v>63</c:v>
                </c:pt>
                <c:pt idx="26">
                  <c:v>51</c:v>
                </c:pt>
                <c:pt idx="27">
                  <c:v>47</c:v>
                </c:pt>
                <c:pt idx="28">
                  <c:v>57</c:v>
                </c:pt>
                <c:pt idx="29">
                  <c:v>55</c:v>
                </c:pt>
                <c:pt idx="30">
                  <c:v>47</c:v>
                </c:pt>
                <c:pt idx="31">
                  <c:v>50</c:v>
                </c:pt>
                <c:pt idx="32">
                  <c:v>30</c:v>
                </c:pt>
                <c:pt idx="33">
                  <c:v>27</c:v>
                </c:pt>
                <c:pt idx="34">
                  <c:v>18</c:v>
                </c:pt>
                <c:pt idx="35">
                  <c:v>25</c:v>
                </c:pt>
                <c:pt idx="36">
                  <c:v>19</c:v>
                </c:pt>
                <c:pt idx="37">
                  <c:v>21</c:v>
                </c:pt>
                <c:pt idx="38">
                  <c:v>17</c:v>
                </c:pt>
                <c:pt idx="39">
                  <c:v>10</c:v>
                </c:pt>
                <c:pt idx="40">
                  <c:v>4</c:v>
                </c:pt>
                <c:pt idx="41">
                  <c:v>8</c:v>
                </c:pt>
                <c:pt idx="42">
                  <c:v>6</c:v>
                </c:pt>
                <c:pt idx="43">
                  <c:v>3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3D-4114-AFD8-3D3C2CCD2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'P2'!$A$13:$A$63</c:f>
              <c:numCache>
                <c:formatCode>_-* #.##0,00_-;\-* #.##0,00_-;_-* "-"??_-;_-@_-</c:formatCode>
                <c:ptCount val="51"/>
                <c:pt idx="0" formatCode="_-* #.##0_-;\-* #.##0_-;_-* &quot;-&quot;_-;_-@_-">
                  <c:v>10750</c:v>
                </c:pt>
                <c:pt idx="1">
                  <c:v>12969.506983728401</c:v>
                </c:pt>
                <c:pt idx="2">
                  <c:v>15189.013967456802</c:v>
                </c:pt>
                <c:pt idx="3">
                  <c:v>17408.520951185201</c:v>
                </c:pt>
                <c:pt idx="4">
                  <c:v>19628.027934913604</c:v>
                </c:pt>
                <c:pt idx="5">
                  <c:v>21847.534918642006</c:v>
                </c:pt>
                <c:pt idx="6">
                  <c:v>24067.041902370409</c:v>
                </c:pt>
                <c:pt idx="7">
                  <c:v>26286.548886098812</c:v>
                </c:pt>
                <c:pt idx="8">
                  <c:v>28506.055869827214</c:v>
                </c:pt>
                <c:pt idx="9">
                  <c:v>30725.562853555617</c:v>
                </c:pt>
                <c:pt idx="10">
                  <c:v>32945.06983728402</c:v>
                </c:pt>
                <c:pt idx="11">
                  <c:v>35164.576821012422</c:v>
                </c:pt>
                <c:pt idx="12">
                  <c:v>37384.083804740825</c:v>
                </c:pt>
                <c:pt idx="13">
                  <c:v>39603.590788469228</c:v>
                </c:pt>
                <c:pt idx="14">
                  <c:v>41823.097772197631</c:v>
                </c:pt>
                <c:pt idx="15">
                  <c:v>44042.604755926033</c:v>
                </c:pt>
                <c:pt idx="16">
                  <c:v>46262.111739654436</c:v>
                </c:pt>
                <c:pt idx="17">
                  <c:v>48481.618723382839</c:v>
                </c:pt>
                <c:pt idx="18">
                  <c:v>50701.125707111241</c:v>
                </c:pt>
                <c:pt idx="19">
                  <c:v>52920.632690839644</c:v>
                </c:pt>
                <c:pt idx="20">
                  <c:v>55140.139674568047</c:v>
                </c:pt>
                <c:pt idx="21">
                  <c:v>57359.646658296449</c:v>
                </c:pt>
                <c:pt idx="22">
                  <c:v>59579.153642024852</c:v>
                </c:pt>
                <c:pt idx="23">
                  <c:v>61798.660625753255</c:v>
                </c:pt>
                <c:pt idx="24">
                  <c:v>64018.167609481658</c:v>
                </c:pt>
                <c:pt idx="25">
                  <c:v>66237.67459321006</c:v>
                </c:pt>
                <c:pt idx="26">
                  <c:v>68457.181576938456</c:v>
                </c:pt>
                <c:pt idx="27">
                  <c:v>70676.688560666851</c:v>
                </c:pt>
                <c:pt idx="28">
                  <c:v>72896.195544395247</c:v>
                </c:pt>
                <c:pt idx="29">
                  <c:v>75115.702528123642</c:v>
                </c:pt>
                <c:pt idx="30">
                  <c:v>77335.209511852037</c:v>
                </c:pt>
                <c:pt idx="31">
                  <c:v>79554.716495580433</c:v>
                </c:pt>
                <c:pt idx="32">
                  <c:v>81774.223479308828</c:v>
                </c:pt>
                <c:pt idx="33">
                  <c:v>83993.730463037224</c:v>
                </c:pt>
                <c:pt idx="34">
                  <c:v>86213.237446765619</c:v>
                </c:pt>
                <c:pt idx="35">
                  <c:v>88432.744430494015</c:v>
                </c:pt>
                <c:pt idx="36">
                  <c:v>90652.25141422241</c:v>
                </c:pt>
                <c:pt idx="37">
                  <c:v>92871.758397950805</c:v>
                </c:pt>
                <c:pt idx="38">
                  <c:v>95091.265381679201</c:v>
                </c:pt>
                <c:pt idx="39">
                  <c:v>97310.772365407596</c:v>
                </c:pt>
                <c:pt idx="40">
                  <c:v>99530.279349135992</c:v>
                </c:pt>
                <c:pt idx="41">
                  <c:v>101749.78633286439</c:v>
                </c:pt>
                <c:pt idx="42">
                  <c:v>103969.29331659278</c:v>
                </c:pt>
                <c:pt idx="43">
                  <c:v>106188.80030032118</c:v>
                </c:pt>
                <c:pt idx="44">
                  <c:v>108408.30728404957</c:v>
                </c:pt>
                <c:pt idx="45">
                  <c:v>110627.81426777797</c:v>
                </c:pt>
                <c:pt idx="46">
                  <c:v>112847.32125150636</c:v>
                </c:pt>
                <c:pt idx="47">
                  <c:v>115066.82823523476</c:v>
                </c:pt>
                <c:pt idx="48">
                  <c:v>117286.33521896316</c:v>
                </c:pt>
                <c:pt idx="49">
                  <c:v>119505.84220269155</c:v>
                </c:pt>
                <c:pt idx="50">
                  <c:v>121725.34918641995</c:v>
                </c:pt>
              </c:numCache>
            </c:numRef>
          </c:cat>
          <c:val>
            <c:numRef>
              <c:f>'P2'!$B$13:$B$63</c:f>
              <c:numCache>
                <c:formatCode>Estándar</c:formatCode>
                <c:ptCount val="51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15</c:v>
                </c:pt>
                <c:pt idx="14">
                  <c:v>20</c:v>
                </c:pt>
                <c:pt idx="15">
                  <c:v>24</c:v>
                </c:pt>
                <c:pt idx="16">
                  <c:v>26</c:v>
                </c:pt>
                <c:pt idx="17">
                  <c:v>35</c:v>
                </c:pt>
                <c:pt idx="18">
                  <c:v>29</c:v>
                </c:pt>
                <c:pt idx="19">
                  <c:v>33</c:v>
                </c:pt>
                <c:pt idx="20">
                  <c:v>35</c:v>
                </c:pt>
                <c:pt idx="21">
                  <c:v>43</c:v>
                </c:pt>
                <c:pt idx="22">
                  <c:v>42</c:v>
                </c:pt>
                <c:pt idx="23">
                  <c:v>44</c:v>
                </c:pt>
                <c:pt idx="24">
                  <c:v>61</c:v>
                </c:pt>
                <c:pt idx="25">
                  <c:v>42</c:v>
                </c:pt>
                <c:pt idx="26">
                  <c:v>59</c:v>
                </c:pt>
                <c:pt idx="27">
                  <c:v>58</c:v>
                </c:pt>
                <c:pt idx="28">
                  <c:v>56</c:v>
                </c:pt>
                <c:pt idx="29">
                  <c:v>49</c:v>
                </c:pt>
                <c:pt idx="30">
                  <c:v>50</c:v>
                </c:pt>
                <c:pt idx="31">
                  <c:v>28</c:v>
                </c:pt>
                <c:pt idx="32">
                  <c:v>31</c:v>
                </c:pt>
                <c:pt idx="33">
                  <c:v>31</c:v>
                </c:pt>
                <c:pt idx="34">
                  <c:v>26</c:v>
                </c:pt>
                <c:pt idx="35">
                  <c:v>20</c:v>
                </c:pt>
                <c:pt idx="36">
                  <c:v>21</c:v>
                </c:pt>
                <c:pt idx="37">
                  <c:v>8</c:v>
                </c:pt>
                <c:pt idx="38">
                  <c:v>10</c:v>
                </c:pt>
                <c:pt idx="39">
                  <c:v>20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1</c:v>
                </c:pt>
                <c:pt idx="44">
                  <c:v>4</c:v>
                </c:pt>
                <c:pt idx="45">
                  <c:v>4</c:v>
                </c:pt>
                <c:pt idx="46">
                  <c:v>2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6-4A1A-B31F-BD2011184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'P3'!$A$13:$A$63</c:f>
              <c:numCache>
                <c:formatCode>_-* #.##0_-;\-* #.##0_-;_-* "-"_-;_-@_-</c:formatCode>
                <c:ptCount val="51"/>
                <c:pt idx="0">
                  <c:v>20086</c:v>
                </c:pt>
                <c:pt idx="1">
                  <c:v>21686.036281967998</c:v>
                </c:pt>
                <c:pt idx="2">
                  <c:v>23286.072563935995</c:v>
                </c:pt>
                <c:pt idx="3">
                  <c:v>24886.108845903993</c:v>
                </c:pt>
                <c:pt idx="4">
                  <c:v>26486.145127871991</c:v>
                </c:pt>
                <c:pt idx="5">
                  <c:v>28086.181409839988</c:v>
                </c:pt>
                <c:pt idx="6">
                  <c:v>29686.217691807986</c:v>
                </c:pt>
                <c:pt idx="7">
                  <c:v>31286.253973775983</c:v>
                </c:pt>
                <c:pt idx="8">
                  <c:v>32886.290255743981</c:v>
                </c:pt>
                <c:pt idx="9">
                  <c:v>34486.326537711982</c:v>
                </c:pt>
                <c:pt idx="10">
                  <c:v>36086.362819679984</c:v>
                </c:pt>
                <c:pt idx="11">
                  <c:v>37686.399101647985</c:v>
                </c:pt>
                <c:pt idx="12">
                  <c:v>39286.435383615986</c:v>
                </c:pt>
                <c:pt idx="13">
                  <c:v>40886.471665583987</c:v>
                </c:pt>
                <c:pt idx="14">
                  <c:v>42486.507947551989</c:v>
                </c:pt>
                <c:pt idx="15">
                  <c:v>44086.54422951999</c:v>
                </c:pt>
                <c:pt idx="16">
                  <c:v>45686.580511487991</c:v>
                </c:pt>
                <c:pt idx="17">
                  <c:v>47286.616793455993</c:v>
                </c:pt>
                <c:pt idx="18">
                  <c:v>48886.653075423994</c:v>
                </c:pt>
                <c:pt idx="19">
                  <c:v>50486.689357391995</c:v>
                </c:pt>
                <c:pt idx="20">
                  <c:v>52086.725639359996</c:v>
                </c:pt>
                <c:pt idx="21">
                  <c:v>53686.761921327998</c:v>
                </c:pt>
                <c:pt idx="22">
                  <c:v>55286.798203295999</c:v>
                </c:pt>
                <c:pt idx="23">
                  <c:v>56886.834485264</c:v>
                </c:pt>
                <c:pt idx="24">
                  <c:v>58486.870767232002</c:v>
                </c:pt>
                <c:pt idx="25">
                  <c:v>60086.907049200003</c:v>
                </c:pt>
                <c:pt idx="26">
                  <c:v>61686.943331168004</c:v>
                </c:pt>
                <c:pt idx="27">
                  <c:v>63286.979613136005</c:v>
                </c:pt>
                <c:pt idx="28">
                  <c:v>64887.015895104007</c:v>
                </c:pt>
                <c:pt idx="29">
                  <c:v>66487.052177072008</c:v>
                </c:pt>
                <c:pt idx="30">
                  <c:v>68087.088459040009</c:v>
                </c:pt>
                <c:pt idx="31">
                  <c:v>69687.12474100801</c:v>
                </c:pt>
                <c:pt idx="32">
                  <c:v>71287.161022976012</c:v>
                </c:pt>
                <c:pt idx="33">
                  <c:v>72887.197304944013</c:v>
                </c:pt>
                <c:pt idx="34">
                  <c:v>74487.233586912014</c:v>
                </c:pt>
                <c:pt idx="35">
                  <c:v>76087.269868880016</c:v>
                </c:pt>
                <c:pt idx="36">
                  <c:v>77687.306150848017</c:v>
                </c:pt>
                <c:pt idx="37">
                  <c:v>79287.342432816018</c:v>
                </c:pt>
                <c:pt idx="38">
                  <c:v>80887.378714784019</c:v>
                </c:pt>
                <c:pt idx="39">
                  <c:v>82487.414996752021</c:v>
                </c:pt>
                <c:pt idx="40">
                  <c:v>84087.451278720022</c:v>
                </c:pt>
                <c:pt idx="41">
                  <c:v>85687.487560688023</c:v>
                </c:pt>
                <c:pt idx="42">
                  <c:v>87287.523842656024</c:v>
                </c:pt>
                <c:pt idx="43">
                  <c:v>88887.560124624026</c:v>
                </c:pt>
                <c:pt idx="44">
                  <c:v>90487.596406592027</c:v>
                </c:pt>
                <c:pt idx="45">
                  <c:v>92087.632688560028</c:v>
                </c:pt>
                <c:pt idx="46">
                  <c:v>93687.66897052803</c:v>
                </c:pt>
                <c:pt idx="47">
                  <c:v>95287.705252496031</c:v>
                </c:pt>
                <c:pt idx="48">
                  <c:v>96887.741534464032</c:v>
                </c:pt>
                <c:pt idx="49">
                  <c:v>98487.777816432033</c:v>
                </c:pt>
                <c:pt idx="50">
                  <c:v>100087.81409840003</c:v>
                </c:pt>
              </c:numCache>
            </c:numRef>
          </c:cat>
          <c:val>
            <c:numRef>
              <c:f>'P3'!$B$13:$B$63</c:f>
              <c:numCache>
                <c:formatCode>Estándar</c:formatCode>
                <c:ptCount val="5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6</c:v>
                </c:pt>
                <c:pt idx="17">
                  <c:v>11</c:v>
                </c:pt>
                <c:pt idx="18">
                  <c:v>8</c:v>
                </c:pt>
                <c:pt idx="19">
                  <c:v>24</c:v>
                </c:pt>
                <c:pt idx="20">
                  <c:v>21</c:v>
                </c:pt>
                <c:pt idx="21">
                  <c:v>31</c:v>
                </c:pt>
                <c:pt idx="22">
                  <c:v>29</c:v>
                </c:pt>
                <c:pt idx="23">
                  <c:v>41</c:v>
                </c:pt>
                <c:pt idx="24">
                  <c:v>45</c:v>
                </c:pt>
                <c:pt idx="25">
                  <c:v>42</c:v>
                </c:pt>
                <c:pt idx="26">
                  <c:v>33</c:v>
                </c:pt>
                <c:pt idx="27">
                  <c:v>47</c:v>
                </c:pt>
                <c:pt idx="28">
                  <c:v>51</c:v>
                </c:pt>
                <c:pt idx="29">
                  <c:v>69</c:v>
                </c:pt>
                <c:pt idx="30">
                  <c:v>48</c:v>
                </c:pt>
                <c:pt idx="31">
                  <c:v>53</c:v>
                </c:pt>
                <c:pt idx="32">
                  <c:v>51</c:v>
                </c:pt>
                <c:pt idx="33">
                  <c:v>51</c:v>
                </c:pt>
                <c:pt idx="34">
                  <c:v>46</c:v>
                </c:pt>
                <c:pt idx="35">
                  <c:v>44</c:v>
                </c:pt>
                <c:pt idx="36">
                  <c:v>40</c:v>
                </c:pt>
                <c:pt idx="37">
                  <c:v>26</c:v>
                </c:pt>
                <c:pt idx="38">
                  <c:v>39</c:v>
                </c:pt>
                <c:pt idx="39">
                  <c:v>30</c:v>
                </c:pt>
                <c:pt idx="40">
                  <c:v>21</c:v>
                </c:pt>
                <c:pt idx="41">
                  <c:v>16</c:v>
                </c:pt>
                <c:pt idx="42">
                  <c:v>16</c:v>
                </c:pt>
                <c:pt idx="43">
                  <c:v>10</c:v>
                </c:pt>
                <c:pt idx="44">
                  <c:v>7</c:v>
                </c:pt>
                <c:pt idx="45">
                  <c:v>5</c:v>
                </c:pt>
                <c:pt idx="46">
                  <c:v>4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1-4C08-BE5B-A5DB9E80A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'P4'!$A$13:$A$63</c:f>
              <c:numCache>
                <c:formatCode>_-* #.##0_-;\-* #.##0_-;_-* "-"_-;_-@_-</c:formatCode>
                <c:ptCount val="51"/>
                <c:pt idx="0">
                  <c:v>0</c:v>
                </c:pt>
                <c:pt idx="1">
                  <c:v>1361.9467780662183</c:v>
                </c:pt>
                <c:pt idx="2">
                  <c:v>2723.8935561324365</c:v>
                </c:pt>
                <c:pt idx="3">
                  <c:v>4085.840334198655</c:v>
                </c:pt>
                <c:pt idx="4">
                  <c:v>5447.787112264873</c:v>
                </c:pt>
                <c:pt idx="5">
                  <c:v>6809.7338903310911</c:v>
                </c:pt>
                <c:pt idx="6">
                  <c:v>8171.6806683973091</c:v>
                </c:pt>
                <c:pt idx="7">
                  <c:v>9533.627446463528</c:v>
                </c:pt>
                <c:pt idx="8">
                  <c:v>10895.574224529746</c:v>
                </c:pt>
                <c:pt idx="9">
                  <c:v>12257.521002595964</c:v>
                </c:pt>
                <c:pt idx="10">
                  <c:v>13619.467780662182</c:v>
                </c:pt>
                <c:pt idx="11">
                  <c:v>14981.4145587284</c:v>
                </c:pt>
                <c:pt idx="12">
                  <c:v>16343.361336794618</c:v>
                </c:pt>
                <c:pt idx="13">
                  <c:v>17705.308114860836</c:v>
                </c:pt>
                <c:pt idx="14">
                  <c:v>19067.254892927056</c:v>
                </c:pt>
                <c:pt idx="15">
                  <c:v>20429.201670993276</c:v>
                </c:pt>
                <c:pt idx="16">
                  <c:v>21791.148449059496</c:v>
                </c:pt>
                <c:pt idx="17">
                  <c:v>23153.095227125716</c:v>
                </c:pt>
                <c:pt idx="18">
                  <c:v>24515.042005191935</c:v>
                </c:pt>
                <c:pt idx="19">
                  <c:v>25876.988783258155</c:v>
                </c:pt>
                <c:pt idx="20">
                  <c:v>27238.935561324375</c:v>
                </c:pt>
                <c:pt idx="21">
                  <c:v>28600.882339390595</c:v>
                </c:pt>
                <c:pt idx="22">
                  <c:v>29962.829117456815</c:v>
                </c:pt>
                <c:pt idx="23">
                  <c:v>31324.775895523035</c:v>
                </c:pt>
                <c:pt idx="24">
                  <c:v>32686.722673589255</c:v>
                </c:pt>
                <c:pt idx="25">
                  <c:v>34048.669451655471</c:v>
                </c:pt>
                <c:pt idx="26">
                  <c:v>35410.616229721687</c:v>
                </c:pt>
                <c:pt idx="27">
                  <c:v>36772.563007787903</c:v>
                </c:pt>
                <c:pt idx="28">
                  <c:v>38134.509785854119</c:v>
                </c:pt>
                <c:pt idx="29">
                  <c:v>39496.456563920336</c:v>
                </c:pt>
                <c:pt idx="30">
                  <c:v>40858.403341986552</c:v>
                </c:pt>
                <c:pt idx="31">
                  <c:v>42220.350120052768</c:v>
                </c:pt>
                <c:pt idx="32">
                  <c:v>43582.296898118984</c:v>
                </c:pt>
                <c:pt idx="33">
                  <c:v>44944.2436761852</c:v>
                </c:pt>
                <c:pt idx="34">
                  <c:v>46306.190454251417</c:v>
                </c:pt>
                <c:pt idx="35">
                  <c:v>47668.137232317633</c:v>
                </c:pt>
                <c:pt idx="36">
                  <c:v>49030.084010383849</c:v>
                </c:pt>
                <c:pt idx="37">
                  <c:v>50392.030788450065</c:v>
                </c:pt>
                <c:pt idx="38">
                  <c:v>51753.977566516282</c:v>
                </c:pt>
                <c:pt idx="39">
                  <c:v>53115.924344582498</c:v>
                </c:pt>
                <c:pt idx="40">
                  <c:v>54477.871122648714</c:v>
                </c:pt>
                <c:pt idx="41">
                  <c:v>55839.81790071493</c:v>
                </c:pt>
                <c:pt idx="42">
                  <c:v>57201.764678781146</c:v>
                </c:pt>
                <c:pt idx="43">
                  <c:v>58563.711456847363</c:v>
                </c:pt>
                <c:pt idx="44">
                  <c:v>59925.658234913579</c:v>
                </c:pt>
                <c:pt idx="45">
                  <c:v>61287.605012979795</c:v>
                </c:pt>
                <c:pt idx="46">
                  <c:v>62649.551791046011</c:v>
                </c:pt>
                <c:pt idx="47">
                  <c:v>64011.498569112227</c:v>
                </c:pt>
                <c:pt idx="48">
                  <c:v>65373.445347178444</c:v>
                </c:pt>
                <c:pt idx="49">
                  <c:v>66735.39212524466</c:v>
                </c:pt>
                <c:pt idx="50">
                  <c:v>68097.338903310883</c:v>
                </c:pt>
              </c:numCache>
            </c:numRef>
          </c:cat>
          <c:val>
            <c:numRef>
              <c:f>'P4'!$B$13:$B$63</c:f>
              <c:numCache>
                <c:formatCode>Estándar</c:formatCode>
                <c:ptCount val="51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10</c:v>
                </c:pt>
                <c:pt idx="11">
                  <c:v>19</c:v>
                </c:pt>
                <c:pt idx="12">
                  <c:v>18</c:v>
                </c:pt>
                <c:pt idx="13">
                  <c:v>21</c:v>
                </c:pt>
                <c:pt idx="14">
                  <c:v>26</c:v>
                </c:pt>
                <c:pt idx="15">
                  <c:v>33</c:v>
                </c:pt>
                <c:pt idx="16">
                  <c:v>37</c:v>
                </c:pt>
                <c:pt idx="17">
                  <c:v>35</c:v>
                </c:pt>
                <c:pt idx="18">
                  <c:v>30</c:v>
                </c:pt>
                <c:pt idx="19">
                  <c:v>46</c:v>
                </c:pt>
                <c:pt idx="20">
                  <c:v>45</c:v>
                </c:pt>
                <c:pt idx="21">
                  <c:v>45</c:v>
                </c:pt>
                <c:pt idx="22">
                  <c:v>49</c:v>
                </c:pt>
                <c:pt idx="23">
                  <c:v>60</c:v>
                </c:pt>
                <c:pt idx="24">
                  <c:v>51</c:v>
                </c:pt>
                <c:pt idx="25">
                  <c:v>50</c:v>
                </c:pt>
                <c:pt idx="26">
                  <c:v>47</c:v>
                </c:pt>
                <c:pt idx="27">
                  <c:v>52</c:v>
                </c:pt>
                <c:pt idx="28">
                  <c:v>49</c:v>
                </c:pt>
                <c:pt idx="29">
                  <c:v>38</c:v>
                </c:pt>
                <c:pt idx="30">
                  <c:v>38</c:v>
                </c:pt>
                <c:pt idx="31">
                  <c:v>25</c:v>
                </c:pt>
                <c:pt idx="32">
                  <c:v>26</c:v>
                </c:pt>
                <c:pt idx="33">
                  <c:v>26</c:v>
                </c:pt>
                <c:pt idx="34">
                  <c:v>12</c:v>
                </c:pt>
                <c:pt idx="35">
                  <c:v>16</c:v>
                </c:pt>
                <c:pt idx="36">
                  <c:v>6</c:v>
                </c:pt>
                <c:pt idx="37">
                  <c:v>13</c:v>
                </c:pt>
                <c:pt idx="38">
                  <c:v>8</c:v>
                </c:pt>
                <c:pt idx="39">
                  <c:v>8</c:v>
                </c:pt>
                <c:pt idx="40">
                  <c:v>3</c:v>
                </c:pt>
                <c:pt idx="41">
                  <c:v>6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9-4D22-A41D-A45429C22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'P5'!$A$13:$A$63</c:f>
              <c:numCache>
                <c:formatCode>_-* #.##0_-;\-* #.##0_-;_-* "-"_-;_-@_-</c:formatCode>
                <c:ptCount val="51"/>
                <c:pt idx="0">
                  <c:v>0</c:v>
                </c:pt>
                <c:pt idx="1">
                  <c:v>995.55048645120564</c:v>
                </c:pt>
                <c:pt idx="2">
                  <c:v>1991.1009729024113</c:v>
                </c:pt>
                <c:pt idx="3">
                  <c:v>2986.6514593536167</c:v>
                </c:pt>
                <c:pt idx="4">
                  <c:v>3982.2019458048226</c:v>
                </c:pt>
                <c:pt idx="5">
                  <c:v>4977.7524322560284</c:v>
                </c:pt>
                <c:pt idx="6">
                  <c:v>5973.3029187072343</c:v>
                </c:pt>
                <c:pt idx="7">
                  <c:v>6968.8534051584402</c:v>
                </c:pt>
                <c:pt idx="8">
                  <c:v>7964.4038916096461</c:v>
                </c:pt>
                <c:pt idx="9">
                  <c:v>8959.954378060851</c:v>
                </c:pt>
                <c:pt idx="10">
                  <c:v>9955.5048645120569</c:v>
                </c:pt>
                <c:pt idx="11">
                  <c:v>10951.055350963263</c:v>
                </c:pt>
                <c:pt idx="12">
                  <c:v>11946.605837414469</c:v>
                </c:pt>
                <c:pt idx="13">
                  <c:v>12942.156323865674</c:v>
                </c:pt>
                <c:pt idx="14">
                  <c:v>13937.70681031688</c:v>
                </c:pt>
                <c:pt idx="15">
                  <c:v>14933.257296768086</c:v>
                </c:pt>
                <c:pt idx="16">
                  <c:v>15928.807783219292</c:v>
                </c:pt>
                <c:pt idx="17">
                  <c:v>16924.358269670498</c:v>
                </c:pt>
                <c:pt idx="18">
                  <c:v>17919.908756121702</c:v>
                </c:pt>
                <c:pt idx="19">
                  <c:v>18915.459242572906</c:v>
                </c:pt>
                <c:pt idx="20">
                  <c:v>19911.00972902411</c:v>
                </c:pt>
                <c:pt idx="21">
                  <c:v>20906.560215475314</c:v>
                </c:pt>
                <c:pt idx="22">
                  <c:v>21902.110701926518</c:v>
                </c:pt>
                <c:pt idx="23">
                  <c:v>22897.661188377722</c:v>
                </c:pt>
                <c:pt idx="24">
                  <c:v>23893.211674828926</c:v>
                </c:pt>
                <c:pt idx="25">
                  <c:v>24888.76216128013</c:v>
                </c:pt>
                <c:pt idx="26">
                  <c:v>25884.312647731334</c:v>
                </c:pt>
                <c:pt idx="27">
                  <c:v>26879.863134182538</c:v>
                </c:pt>
                <c:pt idx="28">
                  <c:v>27875.413620633743</c:v>
                </c:pt>
                <c:pt idx="29">
                  <c:v>28870.964107084947</c:v>
                </c:pt>
                <c:pt idx="30">
                  <c:v>29866.514593536151</c:v>
                </c:pt>
                <c:pt idx="31">
                  <c:v>30862.065079987355</c:v>
                </c:pt>
                <c:pt idx="32">
                  <c:v>31857.615566438559</c:v>
                </c:pt>
                <c:pt idx="33">
                  <c:v>32853.166052889763</c:v>
                </c:pt>
                <c:pt idx="34">
                  <c:v>33848.716539340967</c:v>
                </c:pt>
                <c:pt idx="35">
                  <c:v>34844.267025792171</c:v>
                </c:pt>
                <c:pt idx="36">
                  <c:v>35839.817512243375</c:v>
                </c:pt>
                <c:pt idx="37">
                  <c:v>36835.367998694579</c:v>
                </c:pt>
                <c:pt idx="38">
                  <c:v>37830.918485145783</c:v>
                </c:pt>
                <c:pt idx="39">
                  <c:v>38826.468971596987</c:v>
                </c:pt>
                <c:pt idx="40">
                  <c:v>39822.019458048191</c:v>
                </c:pt>
                <c:pt idx="41">
                  <c:v>40817.569944499395</c:v>
                </c:pt>
                <c:pt idx="42">
                  <c:v>41813.120430950599</c:v>
                </c:pt>
                <c:pt idx="43">
                  <c:v>42808.670917401803</c:v>
                </c:pt>
                <c:pt idx="44">
                  <c:v>43804.221403853007</c:v>
                </c:pt>
                <c:pt idx="45">
                  <c:v>44799.771890304211</c:v>
                </c:pt>
                <c:pt idx="46">
                  <c:v>45795.322376755415</c:v>
                </c:pt>
                <c:pt idx="47">
                  <c:v>46790.87286320662</c:v>
                </c:pt>
                <c:pt idx="48">
                  <c:v>47786.423349657824</c:v>
                </c:pt>
                <c:pt idx="49">
                  <c:v>48781.973836109028</c:v>
                </c:pt>
                <c:pt idx="50">
                  <c:v>49777.524322560232</c:v>
                </c:pt>
              </c:numCache>
            </c:numRef>
          </c:cat>
          <c:val>
            <c:numRef>
              <c:f>'P5'!$B$13:$B$63</c:f>
              <c:numCache>
                <c:formatCode>Estándar</c:formatCode>
                <c:ptCount val="5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6</c:v>
                </c:pt>
                <c:pt idx="10">
                  <c:v>10</c:v>
                </c:pt>
                <c:pt idx="11">
                  <c:v>17</c:v>
                </c:pt>
                <c:pt idx="12">
                  <c:v>9</c:v>
                </c:pt>
                <c:pt idx="13">
                  <c:v>12</c:v>
                </c:pt>
                <c:pt idx="14">
                  <c:v>22</c:v>
                </c:pt>
                <c:pt idx="15">
                  <c:v>21</c:v>
                </c:pt>
                <c:pt idx="16">
                  <c:v>18</c:v>
                </c:pt>
                <c:pt idx="17">
                  <c:v>20</c:v>
                </c:pt>
                <c:pt idx="18">
                  <c:v>37</c:v>
                </c:pt>
                <c:pt idx="19">
                  <c:v>31</c:v>
                </c:pt>
                <c:pt idx="20">
                  <c:v>47</c:v>
                </c:pt>
                <c:pt idx="21">
                  <c:v>45</c:v>
                </c:pt>
                <c:pt idx="22">
                  <c:v>38</c:v>
                </c:pt>
                <c:pt idx="23">
                  <c:v>44</c:v>
                </c:pt>
                <c:pt idx="24">
                  <c:v>46</c:v>
                </c:pt>
                <c:pt idx="25">
                  <c:v>57</c:v>
                </c:pt>
                <c:pt idx="26">
                  <c:v>48</c:v>
                </c:pt>
                <c:pt idx="27">
                  <c:v>48</c:v>
                </c:pt>
                <c:pt idx="28">
                  <c:v>35</c:v>
                </c:pt>
                <c:pt idx="29">
                  <c:v>52</c:v>
                </c:pt>
                <c:pt idx="30">
                  <c:v>53</c:v>
                </c:pt>
                <c:pt idx="31">
                  <c:v>33</c:v>
                </c:pt>
                <c:pt idx="32">
                  <c:v>33</c:v>
                </c:pt>
                <c:pt idx="33">
                  <c:v>25</c:v>
                </c:pt>
                <c:pt idx="34">
                  <c:v>34</c:v>
                </c:pt>
                <c:pt idx="35">
                  <c:v>23</c:v>
                </c:pt>
                <c:pt idx="36">
                  <c:v>13</c:v>
                </c:pt>
                <c:pt idx="37">
                  <c:v>17</c:v>
                </c:pt>
                <c:pt idx="38">
                  <c:v>20</c:v>
                </c:pt>
                <c:pt idx="39">
                  <c:v>16</c:v>
                </c:pt>
                <c:pt idx="40">
                  <c:v>12</c:v>
                </c:pt>
                <c:pt idx="41">
                  <c:v>15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26-4CD3-880F-322454F45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'P6'!$A$13:$A$63</c:f>
              <c:numCache>
                <c:formatCode>_-* #.##0_-;\-* #.##0_-;_-* "-"_-;_-@_-</c:formatCode>
                <c:ptCount val="51"/>
                <c:pt idx="0">
                  <c:v>408</c:v>
                </c:pt>
                <c:pt idx="1">
                  <c:v>748.3324852498107</c:v>
                </c:pt>
                <c:pt idx="2">
                  <c:v>1088.6649704996214</c:v>
                </c:pt>
                <c:pt idx="3">
                  <c:v>1428.997455749432</c:v>
                </c:pt>
                <c:pt idx="4">
                  <c:v>1769.3299409992428</c:v>
                </c:pt>
                <c:pt idx="5">
                  <c:v>2109.6624262490536</c:v>
                </c:pt>
                <c:pt idx="6">
                  <c:v>2449.9949114988644</c:v>
                </c:pt>
                <c:pt idx="7">
                  <c:v>2790.3273967486753</c:v>
                </c:pt>
                <c:pt idx="8">
                  <c:v>3130.6598819984861</c:v>
                </c:pt>
                <c:pt idx="9">
                  <c:v>3470.9923672482969</c:v>
                </c:pt>
                <c:pt idx="10">
                  <c:v>3811.3248524981077</c:v>
                </c:pt>
                <c:pt idx="11">
                  <c:v>4151.6573377479181</c:v>
                </c:pt>
                <c:pt idx="12">
                  <c:v>4491.9898229977289</c:v>
                </c:pt>
                <c:pt idx="13">
                  <c:v>4832.3223082475397</c:v>
                </c:pt>
                <c:pt idx="14">
                  <c:v>5172.6547934973505</c:v>
                </c:pt>
                <c:pt idx="15">
                  <c:v>5512.9872787471613</c:v>
                </c:pt>
                <c:pt idx="16">
                  <c:v>5853.3197639969721</c:v>
                </c:pt>
                <c:pt idx="17">
                  <c:v>6193.652249246783</c:v>
                </c:pt>
                <c:pt idx="18">
                  <c:v>6533.9847344965938</c:v>
                </c:pt>
                <c:pt idx="19">
                  <c:v>6874.3172197464046</c:v>
                </c:pt>
                <c:pt idx="20">
                  <c:v>7214.6497049962154</c:v>
                </c:pt>
                <c:pt idx="21">
                  <c:v>7554.9821902460262</c:v>
                </c:pt>
                <c:pt idx="22">
                  <c:v>7895.314675495837</c:v>
                </c:pt>
                <c:pt idx="23">
                  <c:v>8235.6471607456479</c:v>
                </c:pt>
                <c:pt idx="24">
                  <c:v>8575.9796459954578</c:v>
                </c:pt>
                <c:pt idx="25">
                  <c:v>8916.3121312452677</c:v>
                </c:pt>
                <c:pt idx="26">
                  <c:v>9256.6446164950776</c:v>
                </c:pt>
                <c:pt idx="27">
                  <c:v>9596.9771017448875</c:v>
                </c:pt>
                <c:pt idx="28">
                  <c:v>9937.3095869946974</c:v>
                </c:pt>
                <c:pt idx="29">
                  <c:v>10277.642072244507</c:v>
                </c:pt>
                <c:pt idx="30">
                  <c:v>10617.974557494317</c:v>
                </c:pt>
                <c:pt idx="31">
                  <c:v>10958.307042744127</c:v>
                </c:pt>
                <c:pt idx="32">
                  <c:v>11298.639527993937</c:v>
                </c:pt>
                <c:pt idx="33">
                  <c:v>11638.972013243747</c:v>
                </c:pt>
                <c:pt idx="34">
                  <c:v>11979.304498493557</c:v>
                </c:pt>
                <c:pt idx="35">
                  <c:v>12319.636983743367</c:v>
                </c:pt>
                <c:pt idx="36">
                  <c:v>12659.969468993177</c:v>
                </c:pt>
                <c:pt idx="37">
                  <c:v>13000.301954242987</c:v>
                </c:pt>
                <c:pt idx="38">
                  <c:v>13340.634439492796</c:v>
                </c:pt>
                <c:pt idx="39">
                  <c:v>13680.966924742606</c:v>
                </c:pt>
                <c:pt idx="40">
                  <c:v>14021.299409992416</c:v>
                </c:pt>
                <c:pt idx="41">
                  <c:v>14361.631895242226</c:v>
                </c:pt>
                <c:pt idx="42">
                  <c:v>14701.964380492036</c:v>
                </c:pt>
                <c:pt idx="43">
                  <c:v>15042.296865741846</c:v>
                </c:pt>
                <c:pt idx="44">
                  <c:v>15382.629350991656</c:v>
                </c:pt>
                <c:pt idx="45">
                  <c:v>15722.961836241466</c:v>
                </c:pt>
                <c:pt idx="46">
                  <c:v>16063.294321491276</c:v>
                </c:pt>
                <c:pt idx="47">
                  <c:v>16403.626806741086</c:v>
                </c:pt>
                <c:pt idx="48">
                  <c:v>16743.959291990897</c:v>
                </c:pt>
                <c:pt idx="49">
                  <c:v>17084.291777240709</c:v>
                </c:pt>
                <c:pt idx="50">
                  <c:v>17424.624262490521</c:v>
                </c:pt>
              </c:numCache>
            </c:numRef>
          </c:cat>
          <c:val>
            <c:numRef>
              <c:f>'P6'!$B$13:$B$63</c:f>
              <c:numCache>
                <c:formatCode>Estándar</c:formatCode>
                <c:ptCount val="5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5</c:v>
                </c:pt>
                <c:pt idx="13">
                  <c:v>4</c:v>
                </c:pt>
                <c:pt idx="14">
                  <c:v>9</c:v>
                </c:pt>
                <c:pt idx="15">
                  <c:v>16</c:v>
                </c:pt>
                <c:pt idx="16">
                  <c:v>16</c:v>
                </c:pt>
                <c:pt idx="17">
                  <c:v>21</c:v>
                </c:pt>
                <c:pt idx="18">
                  <c:v>20</c:v>
                </c:pt>
                <c:pt idx="19">
                  <c:v>36</c:v>
                </c:pt>
                <c:pt idx="20">
                  <c:v>44</c:v>
                </c:pt>
                <c:pt idx="21">
                  <c:v>37</c:v>
                </c:pt>
                <c:pt idx="22">
                  <c:v>53</c:v>
                </c:pt>
                <c:pt idx="23">
                  <c:v>46</c:v>
                </c:pt>
                <c:pt idx="24">
                  <c:v>72</c:v>
                </c:pt>
                <c:pt idx="25">
                  <c:v>58</c:v>
                </c:pt>
                <c:pt idx="26">
                  <c:v>52</c:v>
                </c:pt>
                <c:pt idx="27">
                  <c:v>62</c:v>
                </c:pt>
                <c:pt idx="28">
                  <c:v>61</c:v>
                </c:pt>
                <c:pt idx="29">
                  <c:v>49</c:v>
                </c:pt>
                <c:pt idx="30">
                  <c:v>48</c:v>
                </c:pt>
                <c:pt idx="31">
                  <c:v>57</c:v>
                </c:pt>
                <c:pt idx="32">
                  <c:v>32</c:v>
                </c:pt>
                <c:pt idx="33">
                  <c:v>33</c:v>
                </c:pt>
                <c:pt idx="34">
                  <c:v>39</c:v>
                </c:pt>
                <c:pt idx="35">
                  <c:v>26</c:v>
                </c:pt>
                <c:pt idx="36">
                  <c:v>19</c:v>
                </c:pt>
                <c:pt idx="37">
                  <c:v>24</c:v>
                </c:pt>
                <c:pt idx="38">
                  <c:v>17</c:v>
                </c:pt>
                <c:pt idx="39">
                  <c:v>9</c:v>
                </c:pt>
                <c:pt idx="40">
                  <c:v>7</c:v>
                </c:pt>
                <c:pt idx="41">
                  <c:v>3</c:v>
                </c:pt>
                <c:pt idx="42">
                  <c:v>5</c:v>
                </c:pt>
                <c:pt idx="43">
                  <c:v>1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B2-44BF-B445-92750157F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'P7'!$A$13:$A$62</c:f>
              <c:numCache>
                <c:formatCode>_-* #.##0_-;\-* #.##0_-;_-* "-"_-;_-@_-</c:formatCode>
                <c:ptCount val="50"/>
                <c:pt idx="0">
                  <c:v>0</c:v>
                </c:pt>
                <c:pt idx="1">
                  <c:v>1320.6788499612157</c:v>
                </c:pt>
                <c:pt idx="2">
                  <c:v>2641.3576999224315</c:v>
                </c:pt>
                <c:pt idx="3">
                  <c:v>3962.0365498836472</c:v>
                </c:pt>
                <c:pt idx="4">
                  <c:v>5282.715399844863</c:v>
                </c:pt>
                <c:pt idx="5">
                  <c:v>6603.3942498060787</c:v>
                </c:pt>
                <c:pt idx="6">
                  <c:v>7924.0730997672945</c:v>
                </c:pt>
                <c:pt idx="7">
                  <c:v>9244.7519497285102</c:v>
                </c:pt>
                <c:pt idx="8">
                  <c:v>10565.430799689726</c:v>
                </c:pt>
                <c:pt idx="9">
                  <c:v>11886.109649650942</c:v>
                </c:pt>
                <c:pt idx="10">
                  <c:v>13206.788499612157</c:v>
                </c:pt>
                <c:pt idx="11">
                  <c:v>14527.467349573373</c:v>
                </c:pt>
                <c:pt idx="12">
                  <c:v>15848.146199534589</c:v>
                </c:pt>
                <c:pt idx="13">
                  <c:v>17168.825049495805</c:v>
                </c:pt>
                <c:pt idx="14">
                  <c:v>18489.50389945702</c:v>
                </c:pt>
                <c:pt idx="15">
                  <c:v>19810.182749418236</c:v>
                </c:pt>
                <c:pt idx="16">
                  <c:v>21130.861599379452</c:v>
                </c:pt>
                <c:pt idx="17">
                  <c:v>22451.540449340668</c:v>
                </c:pt>
                <c:pt idx="18">
                  <c:v>23772.219299301883</c:v>
                </c:pt>
                <c:pt idx="19">
                  <c:v>25092.898149263099</c:v>
                </c:pt>
                <c:pt idx="20">
                  <c:v>26413.576999224315</c:v>
                </c:pt>
                <c:pt idx="21">
                  <c:v>27734.255849185531</c:v>
                </c:pt>
                <c:pt idx="22">
                  <c:v>29054.934699146746</c:v>
                </c:pt>
                <c:pt idx="23">
                  <c:v>30375.613549107962</c:v>
                </c:pt>
                <c:pt idx="24">
                  <c:v>31696.292399069178</c:v>
                </c:pt>
                <c:pt idx="25">
                  <c:v>33016.971249030394</c:v>
                </c:pt>
                <c:pt idx="26">
                  <c:v>34337.650098991609</c:v>
                </c:pt>
                <c:pt idx="27">
                  <c:v>35658.328948952825</c:v>
                </c:pt>
                <c:pt idx="28">
                  <c:v>36979.007798914041</c:v>
                </c:pt>
                <c:pt idx="29">
                  <c:v>38299.686648875257</c:v>
                </c:pt>
                <c:pt idx="30">
                  <c:v>39620.365498836472</c:v>
                </c:pt>
                <c:pt idx="31">
                  <c:v>40941.044348797688</c:v>
                </c:pt>
                <c:pt idx="32">
                  <c:v>42261.723198758904</c:v>
                </c:pt>
                <c:pt idx="33">
                  <c:v>43582.40204872012</c:v>
                </c:pt>
                <c:pt idx="34">
                  <c:v>44903.080898681335</c:v>
                </c:pt>
                <c:pt idx="35">
                  <c:v>46223.759748642551</c:v>
                </c:pt>
                <c:pt idx="36">
                  <c:v>47544.438598603767</c:v>
                </c:pt>
                <c:pt idx="37">
                  <c:v>48865.117448564983</c:v>
                </c:pt>
                <c:pt idx="38">
                  <c:v>50185.796298526198</c:v>
                </c:pt>
                <c:pt idx="39">
                  <c:v>51506.475148487414</c:v>
                </c:pt>
                <c:pt idx="40">
                  <c:v>52827.15399844863</c:v>
                </c:pt>
                <c:pt idx="41">
                  <c:v>54147.832848409846</c:v>
                </c:pt>
                <c:pt idx="42">
                  <c:v>55468.511698371061</c:v>
                </c:pt>
                <c:pt idx="43">
                  <c:v>56789.190548332277</c:v>
                </c:pt>
                <c:pt idx="44">
                  <c:v>58109.869398293493</c:v>
                </c:pt>
                <c:pt idx="45">
                  <c:v>59430.548248254709</c:v>
                </c:pt>
                <c:pt idx="46">
                  <c:v>60751.227098215924</c:v>
                </c:pt>
                <c:pt idx="47">
                  <c:v>62071.90594817714</c:v>
                </c:pt>
                <c:pt idx="48">
                  <c:v>63392.584798138356</c:v>
                </c:pt>
                <c:pt idx="49">
                  <c:v>64713.263648099572</c:v>
                </c:pt>
              </c:numCache>
            </c:numRef>
          </c:cat>
          <c:val>
            <c:numRef>
              <c:f>'P7'!$B$13:$B$62</c:f>
              <c:numCache>
                <c:formatCode>Estándar</c:formatCode>
                <c:ptCount val="50"/>
                <c:pt idx="0">
                  <c:v>7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7</c:v>
                </c:pt>
                <c:pt idx="8">
                  <c:v>11</c:v>
                </c:pt>
                <c:pt idx="9">
                  <c:v>17</c:v>
                </c:pt>
                <c:pt idx="10">
                  <c:v>8</c:v>
                </c:pt>
                <c:pt idx="11">
                  <c:v>9</c:v>
                </c:pt>
                <c:pt idx="12">
                  <c:v>24</c:v>
                </c:pt>
                <c:pt idx="13">
                  <c:v>20</c:v>
                </c:pt>
                <c:pt idx="14">
                  <c:v>30</c:v>
                </c:pt>
                <c:pt idx="15">
                  <c:v>23</c:v>
                </c:pt>
                <c:pt idx="16">
                  <c:v>24</c:v>
                </c:pt>
                <c:pt idx="17">
                  <c:v>34</c:v>
                </c:pt>
                <c:pt idx="18">
                  <c:v>35</c:v>
                </c:pt>
                <c:pt idx="19">
                  <c:v>49</c:v>
                </c:pt>
                <c:pt idx="20">
                  <c:v>55</c:v>
                </c:pt>
                <c:pt idx="21">
                  <c:v>43</c:v>
                </c:pt>
                <c:pt idx="22">
                  <c:v>39</c:v>
                </c:pt>
                <c:pt idx="23">
                  <c:v>45</c:v>
                </c:pt>
                <c:pt idx="24">
                  <c:v>51</c:v>
                </c:pt>
                <c:pt idx="25">
                  <c:v>41</c:v>
                </c:pt>
                <c:pt idx="26">
                  <c:v>45</c:v>
                </c:pt>
                <c:pt idx="27">
                  <c:v>48</c:v>
                </c:pt>
                <c:pt idx="28">
                  <c:v>43</c:v>
                </c:pt>
                <c:pt idx="29">
                  <c:v>30</c:v>
                </c:pt>
                <c:pt idx="30">
                  <c:v>40</c:v>
                </c:pt>
                <c:pt idx="31">
                  <c:v>29</c:v>
                </c:pt>
                <c:pt idx="32">
                  <c:v>26</c:v>
                </c:pt>
                <c:pt idx="33">
                  <c:v>28</c:v>
                </c:pt>
                <c:pt idx="34">
                  <c:v>22</c:v>
                </c:pt>
                <c:pt idx="35">
                  <c:v>23</c:v>
                </c:pt>
                <c:pt idx="36">
                  <c:v>15</c:v>
                </c:pt>
                <c:pt idx="37">
                  <c:v>16</c:v>
                </c:pt>
                <c:pt idx="38">
                  <c:v>7</c:v>
                </c:pt>
                <c:pt idx="39">
                  <c:v>4</c:v>
                </c:pt>
                <c:pt idx="40">
                  <c:v>10</c:v>
                </c:pt>
                <c:pt idx="41">
                  <c:v>8</c:v>
                </c:pt>
                <c:pt idx="42">
                  <c:v>3</c:v>
                </c:pt>
                <c:pt idx="43">
                  <c:v>4</c:v>
                </c:pt>
                <c:pt idx="44">
                  <c:v>5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656-A271-ABE4AC9F1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'P8'!$A$13:$A$62</c:f>
              <c:numCache>
                <c:formatCode>_-* #.##0_-;\-* #.##0_-;_-* "-"_-;_-@_-</c:formatCode>
                <c:ptCount val="50"/>
                <c:pt idx="0">
                  <c:v>0</c:v>
                </c:pt>
                <c:pt idx="1">
                  <c:v>814.04349226567638</c:v>
                </c:pt>
                <c:pt idx="2">
                  <c:v>1628.0869845313528</c:v>
                </c:pt>
                <c:pt idx="3">
                  <c:v>2442.1304767970291</c:v>
                </c:pt>
                <c:pt idx="4">
                  <c:v>3256.1739690627055</c:v>
                </c:pt>
                <c:pt idx="5">
                  <c:v>4070.2174613283819</c:v>
                </c:pt>
                <c:pt idx="6">
                  <c:v>4884.2609535940583</c:v>
                </c:pt>
                <c:pt idx="7">
                  <c:v>5698.3044458597342</c:v>
                </c:pt>
                <c:pt idx="8">
                  <c:v>6512.347938125411</c:v>
                </c:pt>
                <c:pt idx="9">
                  <c:v>7326.3914303910879</c:v>
                </c:pt>
                <c:pt idx="10">
                  <c:v>8140.4349226567647</c:v>
                </c:pt>
                <c:pt idx="11">
                  <c:v>8954.4784149224415</c:v>
                </c:pt>
                <c:pt idx="12">
                  <c:v>9768.5219071881183</c:v>
                </c:pt>
                <c:pt idx="13">
                  <c:v>10582.565399453795</c:v>
                </c:pt>
                <c:pt idx="14">
                  <c:v>11396.608891719472</c:v>
                </c:pt>
                <c:pt idx="15">
                  <c:v>12210.652383985149</c:v>
                </c:pt>
                <c:pt idx="16">
                  <c:v>13024.695876250826</c:v>
                </c:pt>
                <c:pt idx="17">
                  <c:v>13838.739368516503</c:v>
                </c:pt>
                <c:pt idx="18">
                  <c:v>14652.782860782179</c:v>
                </c:pt>
                <c:pt idx="19">
                  <c:v>15466.826353047856</c:v>
                </c:pt>
                <c:pt idx="20">
                  <c:v>16280.869845313533</c:v>
                </c:pt>
                <c:pt idx="21">
                  <c:v>17094.913337579208</c:v>
                </c:pt>
                <c:pt idx="22">
                  <c:v>17908.956829844883</c:v>
                </c:pt>
                <c:pt idx="23">
                  <c:v>18723.000322110558</c:v>
                </c:pt>
                <c:pt idx="24">
                  <c:v>19537.043814376233</c:v>
                </c:pt>
                <c:pt idx="25">
                  <c:v>20351.087306641908</c:v>
                </c:pt>
                <c:pt idx="26">
                  <c:v>21165.130798907583</c:v>
                </c:pt>
                <c:pt idx="27">
                  <c:v>21979.174291173258</c:v>
                </c:pt>
                <c:pt idx="28">
                  <c:v>22793.217783438933</c:v>
                </c:pt>
                <c:pt idx="29">
                  <c:v>23607.261275704608</c:v>
                </c:pt>
                <c:pt idx="30">
                  <c:v>24421.304767970283</c:v>
                </c:pt>
                <c:pt idx="31">
                  <c:v>25235.348260235958</c:v>
                </c:pt>
                <c:pt idx="32">
                  <c:v>26049.391752501633</c:v>
                </c:pt>
                <c:pt idx="33">
                  <c:v>26863.435244767308</c:v>
                </c:pt>
                <c:pt idx="34">
                  <c:v>27677.478737032983</c:v>
                </c:pt>
                <c:pt idx="35">
                  <c:v>28491.522229298658</c:v>
                </c:pt>
                <c:pt idx="36">
                  <c:v>29305.565721564333</c:v>
                </c:pt>
                <c:pt idx="37">
                  <c:v>30119.609213830008</c:v>
                </c:pt>
                <c:pt idx="38">
                  <c:v>30933.652706095683</c:v>
                </c:pt>
                <c:pt idx="39">
                  <c:v>31747.696198361358</c:v>
                </c:pt>
                <c:pt idx="40">
                  <c:v>32561.739690627033</c:v>
                </c:pt>
                <c:pt idx="41">
                  <c:v>33375.783182892708</c:v>
                </c:pt>
                <c:pt idx="42">
                  <c:v>34189.826675158387</c:v>
                </c:pt>
                <c:pt idx="43">
                  <c:v>35003.870167424066</c:v>
                </c:pt>
                <c:pt idx="44">
                  <c:v>35817.913659689744</c:v>
                </c:pt>
                <c:pt idx="45">
                  <c:v>36631.957151955423</c:v>
                </c:pt>
                <c:pt idx="46">
                  <c:v>37446.000644221102</c:v>
                </c:pt>
                <c:pt idx="47">
                  <c:v>38260.04413648678</c:v>
                </c:pt>
                <c:pt idx="48">
                  <c:v>39074.087628752459</c:v>
                </c:pt>
                <c:pt idx="49">
                  <c:v>39888.131121018137</c:v>
                </c:pt>
              </c:numCache>
            </c:numRef>
          </c:cat>
          <c:val>
            <c:numRef>
              <c:f>'P8'!$B$13:$B$62</c:f>
              <c:numCache>
                <c:formatCode>Estándar</c:formatCode>
                <c:ptCount val="50"/>
                <c:pt idx="0">
                  <c:v>29</c:v>
                </c:pt>
                <c:pt idx="1">
                  <c:v>7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16</c:v>
                </c:pt>
                <c:pt idx="6">
                  <c:v>18</c:v>
                </c:pt>
                <c:pt idx="7">
                  <c:v>13</c:v>
                </c:pt>
                <c:pt idx="8">
                  <c:v>18</c:v>
                </c:pt>
                <c:pt idx="9">
                  <c:v>20</c:v>
                </c:pt>
                <c:pt idx="10">
                  <c:v>27</c:v>
                </c:pt>
                <c:pt idx="11">
                  <c:v>28</c:v>
                </c:pt>
                <c:pt idx="12">
                  <c:v>25</c:v>
                </c:pt>
                <c:pt idx="13">
                  <c:v>34</c:v>
                </c:pt>
                <c:pt idx="14">
                  <c:v>33</c:v>
                </c:pt>
                <c:pt idx="15">
                  <c:v>30</c:v>
                </c:pt>
                <c:pt idx="16">
                  <c:v>29</c:v>
                </c:pt>
                <c:pt idx="17">
                  <c:v>36</c:v>
                </c:pt>
                <c:pt idx="18">
                  <c:v>39</c:v>
                </c:pt>
                <c:pt idx="19">
                  <c:v>48</c:v>
                </c:pt>
                <c:pt idx="20">
                  <c:v>43</c:v>
                </c:pt>
                <c:pt idx="21">
                  <c:v>36</c:v>
                </c:pt>
                <c:pt idx="22">
                  <c:v>38</c:v>
                </c:pt>
                <c:pt idx="23">
                  <c:v>41</c:v>
                </c:pt>
                <c:pt idx="24">
                  <c:v>37</c:v>
                </c:pt>
                <c:pt idx="25">
                  <c:v>33</c:v>
                </c:pt>
                <c:pt idx="26">
                  <c:v>32</c:v>
                </c:pt>
                <c:pt idx="27">
                  <c:v>32</c:v>
                </c:pt>
                <c:pt idx="28">
                  <c:v>25</c:v>
                </c:pt>
                <c:pt idx="29">
                  <c:v>29</c:v>
                </c:pt>
                <c:pt idx="30">
                  <c:v>25</c:v>
                </c:pt>
                <c:pt idx="31">
                  <c:v>29</c:v>
                </c:pt>
                <c:pt idx="32">
                  <c:v>14</c:v>
                </c:pt>
                <c:pt idx="33">
                  <c:v>18</c:v>
                </c:pt>
                <c:pt idx="34">
                  <c:v>14</c:v>
                </c:pt>
                <c:pt idx="35">
                  <c:v>7</c:v>
                </c:pt>
                <c:pt idx="36">
                  <c:v>10</c:v>
                </c:pt>
                <c:pt idx="37">
                  <c:v>9</c:v>
                </c:pt>
                <c:pt idx="38">
                  <c:v>15</c:v>
                </c:pt>
                <c:pt idx="39">
                  <c:v>9</c:v>
                </c:pt>
                <c:pt idx="40">
                  <c:v>7</c:v>
                </c:pt>
                <c:pt idx="41">
                  <c:v>4</c:v>
                </c:pt>
                <c:pt idx="42">
                  <c:v>1</c:v>
                </c:pt>
                <c:pt idx="43">
                  <c:v>8</c:v>
                </c:pt>
                <c:pt idx="44">
                  <c:v>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B-470B-B78A-6F1D8A929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'P9'!$A$13:$A$63</c:f>
              <c:numCache>
                <c:formatCode>_-* #.##0_-;\-* #.##0_-;_-* "-"_-;_-@_-</c:formatCode>
                <c:ptCount val="51"/>
                <c:pt idx="0">
                  <c:v>0</c:v>
                </c:pt>
                <c:pt idx="1">
                  <c:v>641.19791230662952</c:v>
                </c:pt>
                <c:pt idx="2">
                  <c:v>1282.395824613259</c:v>
                </c:pt>
                <c:pt idx="3">
                  <c:v>1923.5937369198887</c:v>
                </c:pt>
                <c:pt idx="4">
                  <c:v>2564.7916492265181</c:v>
                </c:pt>
                <c:pt idx="5">
                  <c:v>3205.9895615331475</c:v>
                </c:pt>
                <c:pt idx="6">
                  <c:v>3847.1874738397769</c:v>
                </c:pt>
                <c:pt idx="7">
                  <c:v>4488.3853861464067</c:v>
                </c:pt>
                <c:pt idx="8">
                  <c:v>5129.5832984530362</c:v>
                </c:pt>
                <c:pt idx="9">
                  <c:v>5770.7812107596656</c:v>
                </c:pt>
                <c:pt idx="10">
                  <c:v>6411.979123066295</c:v>
                </c:pt>
                <c:pt idx="11">
                  <c:v>7053.1770353729244</c:v>
                </c:pt>
                <c:pt idx="12">
                  <c:v>7694.3749476795538</c:v>
                </c:pt>
                <c:pt idx="13">
                  <c:v>8335.5728599861832</c:v>
                </c:pt>
                <c:pt idx="14">
                  <c:v>8976.7707722928135</c:v>
                </c:pt>
                <c:pt idx="15">
                  <c:v>9617.9686845994438</c:v>
                </c:pt>
                <c:pt idx="16">
                  <c:v>10259.166596906074</c:v>
                </c:pt>
                <c:pt idx="17">
                  <c:v>10900.364509212704</c:v>
                </c:pt>
                <c:pt idx="18">
                  <c:v>11541.562421519335</c:v>
                </c:pt>
                <c:pt idx="19">
                  <c:v>12182.760333825965</c:v>
                </c:pt>
                <c:pt idx="20">
                  <c:v>12823.958246132595</c:v>
                </c:pt>
                <c:pt idx="21">
                  <c:v>13465.156158439226</c:v>
                </c:pt>
                <c:pt idx="22">
                  <c:v>14106.354070745856</c:v>
                </c:pt>
                <c:pt idx="23">
                  <c:v>14747.551983052486</c:v>
                </c:pt>
                <c:pt idx="24">
                  <c:v>15388.749895359117</c:v>
                </c:pt>
                <c:pt idx="25">
                  <c:v>16029.947807665747</c:v>
                </c:pt>
                <c:pt idx="26">
                  <c:v>16671.145719972377</c:v>
                </c:pt>
                <c:pt idx="27">
                  <c:v>17312.343632279008</c:v>
                </c:pt>
                <c:pt idx="28">
                  <c:v>17953.541544585638</c:v>
                </c:pt>
                <c:pt idx="29">
                  <c:v>18594.739456892268</c:v>
                </c:pt>
                <c:pt idx="30">
                  <c:v>19235.937369198899</c:v>
                </c:pt>
                <c:pt idx="31">
                  <c:v>19877.135281505529</c:v>
                </c:pt>
                <c:pt idx="32">
                  <c:v>20518.333193812159</c:v>
                </c:pt>
                <c:pt idx="33">
                  <c:v>21159.531106118789</c:v>
                </c:pt>
                <c:pt idx="34">
                  <c:v>21800.72901842542</c:v>
                </c:pt>
                <c:pt idx="35">
                  <c:v>22441.92693073205</c:v>
                </c:pt>
                <c:pt idx="36">
                  <c:v>23083.12484303868</c:v>
                </c:pt>
                <c:pt idx="37">
                  <c:v>23724.322755345311</c:v>
                </c:pt>
                <c:pt idx="38">
                  <c:v>24365.520667651941</c:v>
                </c:pt>
                <c:pt idx="39">
                  <c:v>25006.718579958571</c:v>
                </c:pt>
                <c:pt idx="40">
                  <c:v>25647.916492265202</c:v>
                </c:pt>
                <c:pt idx="41">
                  <c:v>26289.114404571832</c:v>
                </c:pt>
                <c:pt idx="42">
                  <c:v>26930.312316878462</c:v>
                </c:pt>
                <c:pt idx="43">
                  <c:v>27571.510229185093</c:v>
                </c:pt>
                <c:pt idx="44">
                  <c:v>28212.708141491723</c:v>
                </c:pt>
                <c:pt idx="45">
                  <c:v>28853.906053798353</c:v>
                </c:pt>
                <c:pt idx="46">
                  <c:v>29495.103966104984</c:v>
                </c:pt>
                <c:pt idx="47">
                  <c:v>30136.301878411614</c:v>
                </c:pt>
                <c:pt idx="48">
                  <c:v>30777.499790718244</c:v>
                </c:pt>
                <c:pt idx="49">
                  <c:v>31418.697703024874</c:v>
                </c:pt>
                <c:pt idx="50">
                  <c:v>32059.895615331505</c:v>
                </c:pt>
              </c:numCache>
            </c:numRef>
          </c:cat>
          <c:val>
            <c:numRef>
              <c:f>'P9'!$B$13:$B$63</c:f>
              <c:numCache>
                <c:formatCode>Estándar</c:formatCode>
                <c:ptCount val="51"/>
                <c:pt idx="0">
                  <c:v>20</c:v>
                </c:pt>
                <c:pt idx="1">
                  <c:v>5</c:v>
                </c:pt>
                <c:pt idx="2">
                  <c:v>2</c:v>
                </c:pt>
                <c:pt idx="3">
                  <c:v>9</c:v>
                </c:pt>
                <c:pt idx="4">
                  <c:v>13</c:v>
                </c:pt>
                <c:pt idx="5">
                  <c:v>11</c:v>
                </c:pt>
                <c:pt idx="6">
                  <c:v>13</c:v>
                </c:pt>
                <c:pt idx="7">
                  <c:v>17</c:v>
                </c:pt>
                <c:pt idx="8">
                  <c:v>20</c:v>
                </c:pt>
                <c:pt idx="9">
                  <c:v>19</c:v>
                </c:pt>
                <c:pt idx="10">
                  <c:v>37</c:v>
                </c:pt>
                <c:pt idx="11">
                  <c:v>19</c:v>
                </c:pt>
                <c:pt idx="12">
                  <c:v>37</c:v>
                </c:pt>
                <c:pt idx="13">
                  <c:v>32</c:v>
                </c:pt>
                <c:pt idx="14">
                  <c:v>38</c:v>
                </c:pt>
                <c:pt idx="15">
                  <c:v>33</c:v>
                </c:pt>
                <c:pt idx="16">
                  <c:v>34</c:v>
                </c:pt>
                <c:pt idx="17">
                  <c:v>37</c:v>
                </c:pt>
                <c:pt idx="18">
                  <c:v>51</c:v>
                </c:pt>
                <c:pt idx="19">
                  <c:v>39</c:v>
                </c:pt>
                <c:pt idx="20">
                  <c:v>36</c:v>
                </c:pt>
                <c:pt idx="21">
                  <c:v>37</c:v>
                </c:pt>
                <c:pt idx="22">
                  <c:v>41</c:v>
                </c:pt>
                <c:pt idx="23">
                  <c:v>46</c:v>
                </c:pt>
                <c:pt idx="24">
                  <c:v>38</c:v>
                </c:pt>
                <c:pt idx="25">
                  <c:v>39</c:v>
                </c:pt>
                <c:pt idx="26">
                  <c:v>42</c:v>
                </c:pt>
                <c:pt idx="27">
                  <c:v>22</c:v>
                </c:pt>
                <c:pt idx="28">
                  <c:v>43</c:v>
                </c:pt>
                <c:pt idx="29">
                  <c:v>23</c:v>
                </c:pt>
                <c:pt idx="30">
                  <c:v>18</c:v>
                </c:pt>
                <c:pt idx="31">
                  <c:v>24</c:v>
                </c:pt>
                <c:pt idx="32">
                  <c:v>20</c:v>
                </c:pt>
                <c:pt idx="33">
                  <c:v>19</c:v>
                </c:pt>
                <c:pt idx="34">
                  <c:v>11</c:v>
                </c:pt>
                <c:pt idx="35">
                  <c:v>9</c:v>
                </c:pt>
                <c:pt idx="36">
                  <c:v>6</c:v>
                </c:pt>
                <c:pt idx="37">
                  <c:v>9</c:v>
                </c:pt>
                <c:pt idx="38">
                  <c:v>6</c:v>
                </c:pt>
                <c:pt idx="39">
                  <c:v>2</c:v>
                </c:pt>
                <c:pt idx="40">
                  <c:v>6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0</c:v>
                </c:pt>
                <c:pt idx="45">
                  <c:v>2</c:v>
                </c:pt>
                <c:pt idx="46">
                  <c:v>3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9-4525-A883-016D6A537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'P10'!$A$13:$A$63</c:f>
              <c:numCache>
                <c:formatCode>_-* #.##0_-;\-* #.##0_-;_-* "-"_-;_-@_-</c:formatCode>
                <c:ptCount val="51"/>
                <c:pt idx="0">
                  <c:v>0</c:v>
                </c:pt>
                <c:pt idx="1">
                  <c:v>62.046249119431465</c:v>
                </c:pt>
                <c:pt idx="2">
                  <c:v>124.09249823886293</c:v>
                </c:pt>
                <c:pt idx="3">
                  <c:v>186.13874735829438</c:v>
                </c:pt>
                <c:pt idx="4">
                  <c:v>248.18499647772586</c:v>
                </c:pt>
                <c:pt idx="5">
                  <c:v>310.23124559715734</c:v>
                </c:pt>
                <c:pt idx="6">
                  <c:v>372.27749471658882</c:v>
                </c:pt>
                <c:pt idx="7">
                  <c:v>434.3237438360203</c:v>
                </c:pt>
                <c:pt idx="8">
                  <c:v>496.36999295545178</c:v>
                </c:pt>
                <c:pt idx="9">
                  <c:v>558.41624207488326</c:v>
                </c:pt>
                <c:pt idx="10">
                  <c:v>620.46249119431468</c:v>
                </c:pt>
                <c:pt idx="11">
                  <c:v>682.5087403137461</c:v>
                </c:pt>
                <c:pt idx="12">
                  <c:v>744.55498943317752</c:v>
                </c:pt>
                <c:pt idx="13">
                  <c:v>806.60123855260895</c:v>
                </c:pt>
                <c:pt idx="14">
                  <c:v>868.64748767204037</c:v>
                </c:pt>
                <c:pt idx="15">
                  <c:v>930.69373679147179</c:v>
                </c:pt>
                <c:pt idx="16">
                  <c:v>992.73998591090321</c:v>
                </c:pt>
                <c:pt idx="17">
                  <c:v>1054.7862350303346</c:v>
                </c:pt>
                <c:pt idx="18">
                  <c:v>1116.8324841497661</c:v>
                </c:pt>
                <c:pt idx="19">
                  <c:v>1178.8787332691975</c:v>
                </c:pt>
                <c:pt idx="20">
                  <c:v>1240.9249823886289</c:v>
                </c:pt>
                <c:pt idx="21">
                  <c:v>1302.9712315080603</c:v>
                </c:pt>
                <c:pt idx="22">
                  <c:v>1365.0174806274918</c:v>
                </c:pt>
                <c:pt idx="23">
                  <c:v>1427.0637297469232</c:v>
                </c:pt>
                <c:pt idx="24">
                  <c:v>1489.1099788663546</c:v>
                </c:pt>
                <c:pt idx="25">
                  <c:v>1551.156227985786</c:v>
                </c:pt>
                <c:pt idx="26">
                  <c:v>1613.2024771052174</c:v>
                </c:pt>
                <c:pt idx="27">
                  <c:v>1675.2487262246489</c:v>
                </c:pt>
                <c:pt idx="28">
                  <c:v>1737.2949753440803</c:v>
                </c:pt>
                <c:pt idx="29">
                  <c:v>1799.3412244635117</c:v>
                </c:pt>
                <c:pt idx="30">
                  <c:v>1861.3874735829431</c:v>
                </c:pt>
                <c:pt idx="31">
                  <c:v>1923.4337227023746</c:v>
                </c:pt>
                <c:pt idx="32">
                  <c:v>1985.479971821806</c:v>
                </c:pt>
                <c:pt idx="33">
                  <c:v>2047.5262209412374</c:v>
                </c:pt>
                <c:pt idx="34">
                  <c:v>2109.5724700606688</c:v>
                </c:pt>
                <c:pt idx="35">
                  <c:v>2171.6187191801005</c:v>
                </c:pt>
                <c:pt idx="36">
                  <c:v>2233.6649682995321</c:v>
                </c:pt>
                <c:pt idx="37">
                  <c:v>2295.7112174189638</c:v>
                </c:pt>
                <c:pt idx="38">
                  <c:v>2357.7574665383954</c:v>
                </c:pt>
                <c:pt idx="39">
                  <c:v>2419.8037156578271</c:v>
                </c:pt>
                <c:pt idx="40">
                  <c:v>2481.8499647772587</c:v>
                </c:pt>
                <c:pt idx="41">
                  <c:v>2543.8962138966904</c:v>
                </c:pt>
                <c:pt idx="42">
                  <c:v>2605.942463016122</c:v>
                </c:pt>
                <c:pt idx="43">
                  <c:v>2667.9887121355537</c:v>
                </c:pt>
                <c:pt idx="44">
                  <c:v>2730.0349612549853</c:v>
                </c:pt>
                <c:pt idx="45">
                  <c:v>2792.081210374417</c:v>
                </c:pt>
                <c:pt idx="46">
                  <c:v>2854.1274594938486</c:v>
                </c:pt>
                <c:pt idx="47">
                  <c:v>2916.1737086132803</c:v>
                </c:pt>
                <c:pt idx="48">
                  <c:v>2978.2199577327119</c:v>
                </c:pt>
                <c:pt idx="49">
                  <c:v>3040.2662068521436</c:v>
                </c:pt>
                <c:pt idx="50">
                  <c:v>3102.3124559715752</c:v>
                </c:pt>
              </c:numCache>
            </c:numRef>
          </c:cat>
          <c:val>
            <c:numRef>
              <c:f>'P10'!$B$13:$B$63</c:f>
              <c:numCache>
                <c:formatCode>Estándar</c:formatCode>
                <c:ptCount val="51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5</c:v>
                </c:pt>
                <c:pt idx="7">
                  <c:v>8</c:v>
                </c:pt>
                <c:pt idx="8">
                  <c:v>12</c:v>
                </c:pt>
                <c:pt idx="9">
                  <c:v>16</c:v>
                </c:pt>
                <c:pt idx="10">
                  <c:v>12</c:v>
                </c:pt>
                <c:pt idx="11">
                  <c:v>17</c:v>
                </c:pt>
                <c:pt idx="12">
                  <c:v>19</c:v>
                </c:pt>
                <c:pt idx="13">
                  <c:v>19</c:v>
                </c:pt>
                <c:pt idx="14">
                  <c:v>26</c:v>
                </c:pt>
                <c:pt idx="15">
                  <c:v>24</c:v>
                </c:pt>
                <c:pt idx="16">
                  <c:v>33</c:v>
                </c:pt>
                <c:pt idx="17">
                  <c:v>38</c:v>
                </c:pt>
                <c:pt idx="18">
                  <c:v>52</c:v>
                </c:pt>
                <c:pt idx="19">
                  <c:v>43</c:v>
                </c:pt>
                <c:pt idx="20">
                  <c:v>39</c:v>
                </c:pt>
                <c:pt idx="21">
                  <c:v>54</c:v>
                </c:pt>
                <c:pt idx="22">
                  <c:v>53</c:v>
                </c:pt>
                <c:pt idx="23">
                  <c:v>61</c:v>
                </c:pt>
                <c:pt idx="24">
                  <c:v>37</c:v>
                </c:pt>
                <c:pt idx="25">
                  <c:v>51</c:v>
                </c:pt>
                <c:pt idx="26">
                  <c:v>51</c:v>
                </c:pt>
                <c:pt idx="27">
                  <c:v>35</c:v>
                </c:pt>
                <c:pt idx="28">
                  <c:v>45</c:v>
                </c:pt>
                <c:pt idx="29">
                  <c:v>41</c:v>
                </c:pt>
                <c:pt idx="30">
                  <c:v>29</c:v>
                </c:pt>
                <c:pt idx="31">
                  <c:v>31</c:v>
                </c:pt>
                <c:pt idx="32">
                  <c:v>27</c:v>
                </c:pt>
                <c:pt idx="33">
                  <c:v>18</c:v>
                </c:pt>
                <c:pt idx="34">
                  <c:v>22</c:v>
                </c:pt>
                <c:pt idx="35">
                  <c:v>14</c:v>
                </c:pt>
                <c:pt idx="36">
                  <c:v>13</c:v>
                </c:pt>
                <c:pt idx="37">
                  <c:v>10</c:v>
                </c:pt>
                <c:pt idx="38">
                  <c:v>9</c:v>
                </c:pt>
                <c:pt idx="39">
                  <c:v>8</c:v>
                </c:pt>
                <c:pt idx="40">
                  <c:v>8</c:v>
                </c:pt>
                <c:pt idx="41">
                  <c:v>3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9-4D46-918C-B8D467FE6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'P11'!$A$13:$A$62</c:f>
              <c:numCache>
                <c:formatCode>_-* #.##0_-;\-* #.##0_-;_-* "-"_-;_-@_-</c:formatCode>
                <c:ptCount val="50"/>
                <c:pt idx="0">
                  <c:v>528</c:v>
                </c:pt>
                <c:pt idx="1">
                  <c:v>550.64892291803642</c:v>
                </c:pt>
                <c:pt idx="2">
                  <c:v>573.29784583607284</c:v>
                </c:pt>
                <c:pt idx="3">
                  <c:v>595.94676875410926</c:v>
                </c:pt>
                <c:pt idx="4">
                  <c:v>618.59569167214568</c:v>
                </c:pt>
                <c:pt idx="5">
                  <c:v>641.2446145901821</c:v>
                </c:pt>
                <c:pt idx="6">
                  <c:v>663.89353750821851</c:v>
                </c:pt>
                <c:pt idx="7">
                  <c:v>686.54246042625493</c:v>
                </c:pt>
                <c:pt idx="8">
                  <c:v>709.19138334429135</c:v>
                </c:pt>
                <c:pt idx="9">
                  <c:v>731.84030626232777</c:v>
                </c:pt>
                <c:pt idx="10">
                  <c:v>754.48922918036419</c:v>
                </c:pt>
                <c:pt idx="11">
                  <c:v>777.13815209840061</c:v>
                </c:pt>
                <c:pt idx="12">
                  <c:v>799.78707501643703</c:v>
                </c:pt>
                <c:pt idx="13">
                  <c:v>822.43599793447345</c:v>
                </c:pt>
                <c:pt idx="14">
                  <c:v>845.08492085250987</c:v>
                </c:pt>
                <c:pt idx="15">
                  <c:v>867.73384377054629</c:v>
                </c:pt>
                <c:pt idx="16">
                  <c:v>890.38276668858271</c:v>
                </c:pt>
                <c:pt idx="17">
                  <c:v>913.03168960661912</c:v>
                </c:pt>
                <c:pt idx="18">
                  <c:v>935.68061252465554</c:v>
                </c:pt>
                <c:pt idx="19">
                  <c:v>958.32953544269196</c:v>
                </c:pt>
                <c:pt idx="20">
                  <c:v>980.97845836072838</c:v>
                </c:pt>
                <c:pt idx="21">
                  <c:v>1003.6273812787648</c:v>
                </c:pt>
                <c:pt idx="22">
                  <c:v>1026.2763041968012</c:v>
                </c:pt>
                <c:pt idx="23">
                  <c:v>1048.9252271148375</c:v>
                </c:pt>
                <c:pt idx="24">
                  <c:v>1071.5741500328738</c:v>
                </c:pt>
                <c:pt idx="25">
                  <c:v>1094.2230729509101</c:v>
                </c:pt>
                <c:pt idx="26">
                  <c:v>1116.8719958689464</c:v>
                </c:pt>
                <c:pt idx="27">
                  <c:v>1139.5209187869827</c:v>
                </c:pt>
                <c:pt idx="28">
                  <c:v>1162.1698417050191</c:v>
                </c:pt>
                <c:pt idx="29">
                  <c:v>1184.8187646230554</c:v>
                </c:pt>
                <c:pt idx="30">
                  <c:v>1207.4676875410917</c:v>
                </c:pt>
                <c:pt idx="31">
                  <c:v>1230.116610459128</c:v>
                </c:pt>
                <c:pt idx="32">
                  <c:v>1252.7655333771643</c:v>
                </c:pt>
                <c:pt idx="33">
                  <c:v>1275.4144562952006</c:v>
                </c:pt>
                <c:pt idx="34">
                  <c:v>1298.0633792132369</c:v>
                </c:pt>
                <c:pt idx="35">
                  <c:v>1320.7123021312732</c:v>
                </c:pt>
                <c:pt idx="36">
                  <c:v>1343.3612250493095</c:v>
                </c:pt>
                <c:pt idx="37">
                  <c:v>1366.0101479673458</c:v>
                </c:pt>
                <c:pt idx="38">
                  <c:v>1388.6590708853821</c:v>
                </c:pt>
                <c:pt idx="39">
                  <c:v>1411.3079938034184</c:v>
                </c:pt>
                <c:pt idx="40">
                  <c:v>1433.9569167214547</c:v>
                </c:pt>
                <c:pt idx="41">
                  <c:v>1456.605839639491</c:v>
                </c:pt>
                <c:pt idx="42">
                  <c:v>1479.2547625575273</c:v>
                </c:pt>
                <c:pt idx="43">
                  <c:v>1501.9036854755636</c:v>
                </c:pt>
                <c:pt idx="44">
                  <c:v>1524.5526083935999</c:v>
                </c:pt>
                <c:pt idx="45">
                  <c:v>1547.2015313116362</c:v>
                </c:pt>
                <c:pt idx="46">
                  <c:v>1569.8504542296726</c:v>
                </c:pt>
                <c:pt idx="47">
                  <c:v>1592.4993771477089</c:v>
                </c:pt>
                <c:pt idx="48">
                  <c:v>1615.1483000657452</c:v>
                </c:pt>
                <c:pt idx="49">
                  <c:v>1637.7972229837815</c:v>
                </c:pt>
              </c:numCache>
            </c:numRef>
          </c:cat>
          <c:val>
            <c:numRef>
              <c:f>'P11'!$B$13:$B$62</c:f>
              <c:numCache>
                <c:formatCode>Estándar</c:formatCode>
                <c:ptCount val="50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8</c:v>
                </c:pt>
                <c:pt idx="6">
                  <c:v>2</c:v>
                </c:pt>
                <c:pt idx="7">
                  <c:v>9</c:v>
                </c:pt>
                <c:pt idx="8">
                  <c:v>12</c:v>
                </c:pt>
                <c:pt idx="9">
                  <c:v>8</c:v>
                </c:pt>
                <c:pt idx="10">
                  <c:v>23</c:v>
                </c:pt>
                <c:pt idx="11">
                  <c:v>18</c:v>
                </c:pt>
                <c:pt idx="12">
                  <c:v>21</c:v>
                </c:pt>
                <c:pt idx="13">
                  <c:v>30</c:v>
                </c:pt>
                <c:pt idx="14">
                  <c:v>26</c:v>
                </c:pt>
                <c:pt idx="15">
                  <c:v>27</c:v>
                </c:pt>
                <c:pt idx="16">
                  <c:v>30</c:v>
                </c:pt>
                <c:pt idx="17">
                  <c:v>44</c:v>
                </c:pt>
                <c:pt idx="18">
                  <c:v>32</c:v>
                </c:pt>
                <c:pt idx="19">
                  <c:v>36</c:v>
                </c:pt>
                <c:pt idx="20">
                  <c:v>45</c:v>
                </c:pt>
                <c:pt idx="21">
                  <c:v>36</c:v>
                </c:pt>
                <c:pt idx="22">
                  <c:v>51</c:v>
                </c:pt>
                <c:pt idx="23">
                  <c:v>44</c:v>
                </c:pt>
                <c:pt idx="24">
                  <c:v>47</c:v>
                </c:pt>
                <c:pt idx="25">
                  <c:v>50</c:v>
                </c:pt>
                <c:pt idx="26">
                  <c:v>42</c:v>
                </c:pt>
                <c:pt idx="27">
                  <c:v>40</c:v>
                </c:pt>
                <c:pt idx="28">
                  <c:v>43</c:v>
                </c:pt>
                <c:pt idx="29">
                  <c:v>33</c:v>
                </c:pt>
                <c:pt idx="30">
                  <c:v>43</c:v>
                </c:pt>
                <c:pt idx="31">
                  <c:v>30</c:v>
                </c:pt>
                <c:pt idx="32">
                  <c:v>22</c:v>
                </c:pt>
                <c:pt idx="33">
                  <c:v>26</c:v>
                </c:pt>
                <c:pt idx="34">
                  <c:v>23</c:v>
                </c:pt>
                <c:pt idx="35">
                  <c:v>23</c:v>
                </c:pt>
                <c:pt idx="36">
                  <c:v>10</c:v>
                </c:pt>
                <c:pt idx="37">
                  <c:v>13</c:v>
                </c:pt>
                <c:pt idx="38">
                  <c:v>7</c:v>
                </c:pt>
                <c:pt idx="39">
                  <c:v>2</c:v>
                </c:pt>
                <c:pt idx="40">
                  <c:v>7</c:v>
                </c:pt>
                <c:pt idx="41">
                  <c:v>6</c:v>
                </c:pt>
                <c:pt idx="42">
                  <c:v>8</c:v>
                </c:pt>
                <c:pt idx="43">
                  <c:v>5</c:v>
                </c:pt>
                <c:pt idx="44">
                  <c:v>2</c:v>
                </c:pt>
                <c:pt idx="45">
                  <c:v>4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0-4D15-8368-30429A692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PResumen!$A$13:$A$63</c:f>
              <c:numCache>
                <c:formatCode>_-* #.##0_-;\-* #.##0_-;_-* "-"_-;_-@_-</c:formatCode>
                <c:ptCount val="51"/>
                <c:pt idx="0">
                  <c:v>318427</c:v>
                </c:pt>
                <c:pt idx="1">
                  <c:v>319486.88581298705</c:v>
                </c:pt>
                <c:pt idx="2">
                  <c:v>320546.7716259741</c:v>
                </c:pt>
                <c:pt idx="3">
                  <c:v>321606.65743896115</c:v>
                </c:pt>
                <c:pt idx="4">
                  <c:v>322666.5432519482</c:v>
                </c:pt>
                <c:pt idx="5">
                  <c:v>323726.42906493525</c:v>
                </c:pt>
                <c:pt idx="6">
                  <c:v>324786.3148779223</c:v>
                </c:pt>
                <c:pt idx="7">
                  <c:v>325846.20069090935</c:v>
                </c:pt>
                <c:pt idx="8">
                  <c:v>326906.0865038964</c:v>
                </c:pt>
                <c:pt idx="9">
                  <c:v>327965.97231688345</c:v>
                </c:pt>
                <c:pt idx="10">
                  <c:v>329025.8581298705</c:v>
                </c:pt>
                <c:pt idx="11">
                  <c:v>330085.74394285755</c:v>
                </c:pt>
                <c:pt idx="12">
                  <c:v>331145.62975584459</c:v>
                </c:pt>
                <c:pt idx="13">
                  <c:v>332205.51556883164</c:v>
                </c:pt>
                <c:pt idx="14">
                  <c:v>333265.40138181869</c:v>
                </c:pt>
                <c:pt idx="15">
                  <c:v>334325.28719480574</c:v>
                </c:pt>
                <c:pt idx="16">
                  <c:v>335385.17300779279</c:v>
                </c:pt>
                <c:pt idx="17">
                  <c:v>336445.05882077984</c:v>
                </c:pt>
                <c:pt idx="18">
                  <c:v>337504.94463376689</c:v>
                </c:pt>
                <c:pt idx="19">
                  <c:v>338564.83044675394</c:v>
                </c:pt>
                <c:pt idx="20">
                  <c:v>339624.71625974099</c:v>
                </c:pt>
                <c:pt idx="21">
                  <c:v>340684.60207272804</c:v>
                </c:pt>
                <c:pt idx="22">
                  <c:v>341744.48788571509</c:v>
                </c:pt>
                <c:pt idx="23">
                  <c:v>342804.37369870214</c:v>
                </c:pt>
                <c:pt idx="24">
                  <c:v>343864.25951168919</c:v>
                </c:pt>
                <c:pt idx="25">
                  <c:v>344924.14532467624</c:v>
                </c:pt>
                <c:pt idx="26">
                  <c:v>345984.03113766329</c:v>
                </c:pt>
                <c:pt idx="27">
                  <c:v>347043.91695065034</c:v>
                </c:pt>
                <c:pt idx="28">
                  <c:v>348103.80276363739</c:v>
                </c:pt>
                <c:pt idx="29">
                  <c:v>349163.68857662444</c:v>
                </c:pt>
                <c:pt idx="30">
                  <c:v>350223.57438961149</c:v>
                </c:pt>
                <c:pt idx="31">
                  <c:v>351283.46020259854</c:v>
                </c:pt>
                <c:pt idx="32">
                  <c:v>352343.34601558559</c:v>
                </c:pt>
                <c:pt idx="33">
                  <c:v>353403.23182857264</c:v>
                </c:pt>
                <c:pt idx="34">
                  <c:v>354463.11764155969</c:v>
                </c:pt>
                <c:pt idx="35">
                  <c:v>355523.00345454674</c:v>
                </c:pt>
                <c:pt idx="36">
                  <c:v>356582.88926753378</c:v>
                </c:pt>
                <c:pt idx="37">
                  <c:v>357642.77508052083</c:v>
                </c:pt>
                <c:pt idx="38">
                  <c:v>358702.66089350788</c:v>
                </c:pt>
                <c:pt idx="39">
                  <c:v>359762.54670649493</c:v>
                </c:pt>
                <c:pt idx="40">
                  <c:v>360822.43251948198</c:v>
                </c:pt>
                <c:pt idx="41">
                  <c:v>361882.31833246903</c:v>
                </c:pt>
                <c:pt idx="42">
                  <c:v>362942.20414545608</c:v>
                </c:pt>
                <c:pt idx="43">
                  <c:v>364002.08995844313</c:v>
                </c:pt>
                <c:pt idx="44">
                  <c:v>365061.97577143018</c:v>
                </c:pt>
                <c:pt idx="45">
                  <c:v>366121.86158441723</c:v>
                </c:pt>
                <c:pt idx="46">
                  <c:v>367181.74739740428</c:v>
                </c:pt>
                <c:pt idx="47">
                  <c:v>368241.63321039133</c:v>
                </c:pt>
                <c:pt idx="48">
                  <c:v>369301.51902337838</c:v>
                </c:pt>
                <c:pt idx="49">
                  <c:v>370361.40483636543</c:v>
                </c:pt>
                <c:pt idx="50">
                  <c:v>371421.29064935248</c:v>
                </c:pt>
              </c:numCache>
            </c:numRef>
          </c:cat>
          <c:val>
            <c:numRef>
              <c:f>PResumen!$B$13:$B$63</c:f>
              <c:numCache>
                <c:formatCode>Estándar</c:formatCode>
                <c:ptCount val="51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8</c:v>
                </c:pt>
                <c:pt idx="8">
                  <c:v>8</c:v>
                </c:pt>
                <c:pt idx="9">
                  <c:v>11</c:v>
                </c:pt>
                <c:pt idx="10">
                  <c:v>8</c:v>
                </c:pt>
                <c:pt idx="11">
                  <c:v>16</c:v>
                </c:pt>
                <c:pt idx="12">
                  <c:v>22</c:v>
                </c:pt>
                <c:pt idx="13">
                  <c:v>33</c:v>
                </c:pt>
                <c:pt idx="14">
                  <c:v>26</c:v>
                </c:pt>
                <c:pt idx="15">
                  <c:v>33</c:v>
                </c:pt>
                <c:pt idx="16">
                  <c:v>37</c:v>
                </c:pt>
                <c:pt idx="17">
                  <c:v>43</c:v>
                </c:pt>
                <c:pt idx="18">
                  <c:v>43</c:v>
                </c:pt>
                <c:pt idx="19">
                  <c:v>52</c:v>
                </c:pt>
                <c:pt idx="20">
                  <c:v>61</c:v>
                </c:pt>
                <c:pt idx="21">
                  <c:v>55</c:v>
                </c:pt>
                <c:pt idx="22">
                  <c:v>53</c:v>
                </c:pt>
                <c:pt idx="23">
                  <c:v>46</c:v>
                </c:pt>
                <c:pt idx="24">
                  <c:v>61</c:v>
                </c:pt>
                <c:pt idx="25">
                  <c:v>52</c:v>
                </c:pt>
                <c:pt idx="26">
                  <c:v>46</c:v>
                </c:pt>
                <c:pt idx="27">
                  <c:v>44</c:v>
                </c:pt>
                <c:pt idx="28">
                  <c:v>34</c:v>
                </c:pt>
                <c:pt idx="29">
                  <c:v>23</c:v>
                </c:pt>
                <c:pt idx="30">
                  <c:v>36</c:v>
                </c:pt>
                <c:pt idx="31">
                  <c:v>28</c:v>
                </c:pt>
                <c:pt idx="32">
                  <c:v>21</c:v>
                </c:pt>
                <c:pt idx="33">
                  <c:v>19</c:v>
                </c:pt>
                <c:pt idx="34">
                  <c:v>14</c:v>
                </c:pt>
                <c:pt idx="35">
                  <c:v>12</c:v>
                </c:pt>
                <c:pt idx="36">
                  <c:v>9</c:v>
                </c:pt>
                <c:pt idx="37">
                  <c:v>5</c:v>
                </c:pt>
                <c:pt idx="38">
                  <c:v>5</c:v>
                </c:pt>
                <c:pt idx="39">
                  <c:v>3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1-4028-B7C1-5B549308F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8833584"/>
        <c:axId val="678827680"/>
      </c:barChart>
      <c:catAx>
        <c:axId val="678833584"/>
        <c:scaling>
          <c:orientation val="minMax"/>
        </c:scaling>
        <c:delete val="0"/>
        <c:axPos val="b"/>
        <c:numFmt formatCode="_-* #.##0_-;\-* #.##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27680"/>
        <c:crosses val="autoZero"/>
        <c:auto val="1"/>
        <c:lblAlgn val="ctr"/>
        <c:lblOffset val="100"/>
        <c:noMultiLvlLbl val="0"/>
      </c:catAx>
      <c:valAx>
        <c:axId val="67882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Estándar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7883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161925</xdr:colOff>
      <xdr:row>13</xdr:row>
      <xdr:rowOff>111125</xdr:rowOff>
    </xdr:from>
    <xdr:to>
      <xdr:col>13</xdr:col>
      <xdr:colOff>155575</xdr:colOff>
      <xdr:row>28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238125</xdr:colOff>
      <xdr:row>9</xdr:row>
      <xdr:rowOff>161925</xdr:rowOff>
    </xdr:from>
    <xdr:to>
      <xdr:col>10</xdr:col>
      <xdr:colOff>542925</xdr:colOff>
      <xdr:row>24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257175</xdr:colOff>
      <xdr:row>8</xdr:row>
      <xdr:rowOff>47625</xdr:rowOff>
    </xdr:from>
    <xdr:to>
      <xdr:col>10</xdr:col>
      <xdr:colOff>561975</xdr:colOff>
      <xdr:row>23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263525</xdr:colOff>
      <xdr:row>10</xdr:row>
      <xdr:rowOff>34925</xdr:rowOff>
    </xdr:from>
    <xdr:to>
      <xdr:col>10</xdr:col>
      <xdr:colOff>568325</xdr:colOff>
      <xdr:row>25</xdr:row>
      <xdr:rowOff>15875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</xdr:row>
          <xdr:rowOff>0</xdr:rowOff>
        </xdr:from>
        <xdr:to>
          <xdr:col>6</xdr:col>
          <xdr:colOff>504825</xdr:colOff>
          <xdr:row>4</xdr:row>
          <xdr:rowOff>123825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LanzarMacro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352425</xdr:colOff>
      <xdr:row>12</xdr:row>
      <xdr:rowOff>73025</xdr:rowOff>
    </xdr:from>
    <xdr:to>
      <xdr:col>9</xdr:col>
      <xdr:colOff>346075</xdr:colOff>
      <xdr:row>27</xdr:row>
      <xdr:rowOff>53975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Jose Feller Goudie" refreshedDate="43130.63039421296" createdVersion="6" refreshedVersion="6" minRefreshableVersion="3" recordCount="999" xr:uid="{4D54AC40-8A01-431B-9E2E-06264A31B94F}">
  <cacheSource type="worksheet">
    <worksheetSource ref="K1:K1000" sheet="P1"/>
  </cacheSource>
  <cacheFields count="1">
    <cacheField name=" 66,380 " numFmtId="41">
      <sharedItems containsSemiMixedTypes="0" containsString="0" containsNumber="1" minValue="18216.586539731834" maxValue="101590.66739924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">
  <r>
    <n v="52818.4316725229"/>
  </r>
  <r>
    <n v="70231.435380589552"/>
  </r>
  <r>
    <n v="66273.75309969869"/>
  </r>
  <r>
    <n v="43032.787404616807"/>
  </r>
  <r>
    <n v="71061.542427077569"/>
  </r>
  <r>
    <n v="41942.957390500575"/>
  </r>
  <r>
    <n v="70048.832270260144"/>
  </r>
  <r>
    <n v="77461.080808628947"/>
  </r>
  <r>
    <n v="75145.997466705274"/>
  </r>
  <r>
    <n v="71177.928179346723"/>
  </r>
  <r>
    <n v="69955.379308817399"/>
  </r>
  <r>
    <n v="50795.441106714708"/>
  </r>
  <r>
    <n v="66343.481785154028"/>
  </r>
  <r>
    <n v="71509.596179848915"/>
  </r>
  <r>
    <n v="76619.305820853653"/>
  </r>
  <r>
    <n v="67688.976405949506"/>
  </r>
  <r>
    <n v="59654.563363294823"/>
  </r>
  <r>
    <n v="48021.272910210435"/>
  </r>
  <r>
    <n v="60524.012137697231"/>
  </r>
  <r>
    <n v="51028.708069923843"/>
  </r>
  <r>
    <n v="71997.561226490332"/>
  </r>
  <r>
    <n v="73862.418263234009"/>
  </r>
  <r>
    <n v="62548.216376084711"/>
  </r>
  <r>
    <n v="62366.783030842736"/>
  </r>
  <r>
    <n v="67149.087950576897"/>
  </r>
  <r>
    <n v="69178.08304448241"/>
  </r>
  <r>
    <n v="66839.934801754265"/>
  </r>
  <r>
    <n v="69657.25371118504"/>
  </r>
  <r>
    <n v="67960.018944501426"/>
  </r>
  <r>
    <n v="57113.992802913293"/>
  </r>
  <r>
    <n v="53058.973920288139"/>
  </r>
  <r>
    <n v="48607.394789776619"/>
  </r>
  <r>
    <n v="79566.489034440296"/>
  </r>
  <r>
    <n v="70128.219684363736"/>
  </r>
  <r>
    <n v="51747.653122122269"/>
  </r>
  <r>
    <n v="60842.59710933586"/>
  </r>
  <r>
    <n v="62781.758354515114"/>
  </r>
  <r>
    <n v="58076.53174466495"/>
  </r>
  <r>
    <n v="56160.345994289812"/>
  </r>
  <r>
    <n v="59685.735792801075"/>
  </r>
  <r>
    <n v="53297.948865776685"/>
  </r>
  <r>
    <n v="60902.974370700518"/>
  </r>
  <r>
    <n v="52693.740382804113"/>
  </r>
  <r>
    <n v="72217.411128243009"/>
  </r>
  <r>
    <n v="77789.728925188465"/>
  </r>
  <r>
    <n v="56622.244421746327"/>
  </r>
  <r>
    <n v="55771.628589377033"/>
  </r>
  <r>
    <n v="61524.788675561438"/>
  </r>
  <r>
    <n v="62899.737197611896"/>
  </r>
  <r>
    <n v="47294.813818585804"/>
  </r>
  <r>
    <n v="75415.855319482638"/>
  </r>
  <r>
    <n v="60323.841978171527"/>
  </r>
  <r>
    <n v="62424.661558356958"/>
  </r>
  <r>
    <n v="59752.722633128884"/>
  </r>
  <r>
    <n v="47677.214267242147"/>
  </r>
  <r>
    <n v="64943.76699724848"/>
  </r>
  <r>
    <n v="47313.151068264895"/>
  </r>
  <r>
    <n v="61584.700173020596"/>
  </r>
  <r>
    <n v="32758.955891664235"/>
  </r>
  <r>
    <n v="55870.330123356922"/>
  </r>
  <r>
    <n v="67795.247780277714"/>
  </r>
  <r>
    <n v="81978.860447179046"/>
  </r>
  <r>
    <n v="42127.649515434823"/>
  </r>
  <r>
    <n v="56020.58459464214"/>
  </r>
  <r>
    <n v="48982.508902453992"/>
  </r>
  <r>
    <n v="47085.417338654974"/>
  </r>
  <r>
    <n v="58596.921513055626"/>
  </r>
  <r>
    <n v="50572.434825024822"/>
  </r>
  <r>
    <n v="41174.49206587021"/>
  </r>
  <r>
    <n v="68502.282471832616"/>
  </r>
  <r>
    <n v="80250.281344880015"/>
  </r>
  <r>
    <n v="31036.802461214338"/>
  </r>
  <r>
    <n v="51303.063015364933"/>
  </r>
  <r>
    <n v="45334.618411341362"/>
  </r>
  <r>
    <n v="56264.616556617308"/>
  </r>
  <r>
    <n v="67441.146972972623"/>
  </r>
  <r>
    <n v="66866.183005554325"/>
  </r>
  <r>
    <n v="82219.061223746714"/>
  </r>
  <r>
    <n v="82824.871125299207"/>
  </r>
  <r>
    <n v="39944.365468475648"/>
  </r>
  <r>
    <n v="50848.589101330428"/>
  </r>
  <r>
    <n v="70384.03928753431"/>
  </r>
  <r>
    <n v="69944.463612636435"/>
  </r>
  <r>
    <n v="65531.427909844853"/>
  </r>
  <r>
    <n v="51751.952591985872"/>
  </r>
  <r>
    <n v="74573.355146490081"/>
  </r>
  <r>
    <n v="18216.586539731834"/>
  </r>
  <r>
    <n v="70900.501377664114"/>
  </r>
  <r>
    <n v="63159.380941915915"/>
  </r>
  <r>
    <n v="76831.276286945111"/>
  </r>
  <r>
    <n v="60299.514299404749"/>
  </r>
  <r>
    <n v="49520.243750807516"/>
  </r>
  <r>
    <n v="50960.594400824615"/>
  </r>
  <r>
    <n v="58075.319100654764"/>
  </r>
  <r>
    <n v="62434.540480601179"/>
  </r>
  <r>
    <n v="62883.632973112173"/>
  </r>
  <r>
    <n v="63679.169989100104"/>
  </r>
  <r>
    <n v="52925.655254588935"/>
  </r>
  <r>
    <n v="42309.0240778101"/>
  </r>
  <r>
    <n v="46826.232259156634"/>
  </r>
  <r>
    <n v="52127.72153488217"/>
  </r>
  <r>
    <n v="52478.13903453423"/>
  </r>
  <r>
    <n v="71772.429176141421"/>
  </r>
  <r>
    <n v="61273.154850423627"/>
  </r>
  <r>
    <n v="56895.11636665128"/>
  </r>
  <r>
    <n v="70905.167178120217"/>
  </r>
  <r>
    <n v="50858.04708635695"/>
  </r>
  <r>
    <n v="57656.661880925312"/>
  </r>
  <r>
    <n v="49957.934309139324"/>
  </r>
  <r>
    <n v="69829.278993616696"/>
  </r>
  <r>
    <n v="45559.131183741512"/>
  </r>
  <r>
    <n v="56673.252378221012"/>
  </r>
  <r>
    <n v="58774.564994740496"/>
  </r>
  <r>
    <n v="49275.841348735572"/>
  </r>
  <r>
    <n v="59351.208789621138"/>
  </r>
  <r>
    <n v="55850.403210587378"/>
  </r>
  <r>
    <n v="70323.367808605806"/>
  </r>
  <r>
    <n v="74068.775301402362"/>
  </r>
  <r>
    <n v="82086.320013391"/>
  </r>
  <r>
    <n v="42303.009392700034"/>
  </r>
  <r>
    <n v="74129.006994743526"/>
  </r>
  <r>
    <n v="50168.930630860683"/>
  </r>
  <r>
    <n v="54356.713337428147"/>
  </r>
  <r>
    <n v="57420.920788510623"/>
  </r>
  <r>
    <n v="68329.627025865309"/>
  </r>
  <r>
    <n v="52209.376153765261"/>
  </r>
  <r>
    <n v="54314.973697499736"/>
  </r>
  <r>
    <n v="28482.900692642586"/>
  </r>
  <r>
    <n v="34288.971876425079"/>
  </r>
  <r>
    <n v="56458.664682379451"/>
  </r>
  <r>
    <n v="69594.436202790836"/>
  </r>
  <r>
    <n v="54610.673323236573"/>
  </r>
  <r>
    <n v="53256.225953361514"/>
  </r>
  <r>
    <n v="73452.031008861304"/>
  </r>
  <r>
    <n v="53070.02176961724"/>
  </r>
  <r>
    <n v="66826.794904005015"/>
  </r>
  <r>
    <n v="65847.82211380334"/>
  </r>
  <r>
    <n v="61982.309144802843"/>
  </r>
  <r>
    <n v="64648.212360640115"/>
  </r>
  <r>
    <n v="53784.109660794209"/>
  </r>
  <r>
    <n v="53352.369212167549"/>
  </r>
  <r>
    <n v="77308.208684509416"/>
  </r>
  <r>
    <n v="79672.315433419135"/>
  </r>
  <r>
    <n v="75176.645248832836"/>
  </r>
  <r>
    <n v="58186.472538508082"/>
  </r>
  <r>
    <n v="55049.758999904283"/>
  </r>
  <r>
    <n v="70593.727763090064"/>
  </r>
  <r>
    <n v="42963.201688745175"/>
  </r>
  <r>
    <n v="33998.701544808355"/>
  </r>
  <r>
    <n v="72996.040857818414"/>
  </r>
  <r>
    <n v="79571.404319516441"/>
  </r>
  <r>
    <n v="32110.703341897843"/>
  </r>
  <r>
    <n v="76656.983582894347"/>
  </r>
  <r>
    <n v="38465.653348345892"/>
  </r>
  <r>
    <n v="78720.536932792835"/>
  </r>
  <r>
    <n v="58697.227654248331"/>
  </r>
  <r>
    <n v="54066.51319313197"/>
  </r>
  <r>
    <n v="48939.352253407509"/>
  </r>
  <r>
    <n v="51382.986166627619"/>
  </r>
  <r>
    <n v="56759.069765194698"/>
  </r>
  <r>
    <n v="62408.714693457077"/>
  </r>
  <r>
    <n v="65921.613103243813"/>
  </r>
  <r>
    <n v="59641.318925522843"/>
  </r>
  <r>
    <n v="70711.19295708384"/>
  </r>
  <r>
    <n v="54193.711034649416"/>
  </r>
  <r>
    <n v="44185.763980102871"/>
  </r>
  <r>
    <n v="68145.373707121718"/>
  </r>
  <r>
    <n v="66613.446446537113"/>
  </r>
  <r>
    <n v="50281.830085735375"/>
  </r>
  <r>
    <n v="67851.099168057641"/>
  </r>
  <r>
    <n v="52726.832589101301"/>
  </r>
  <r>
    <n v="52182.2443315536"/>
  </r>
  <r>
    <n v="78754.811321326022"/>
  </r>
  <r>
    <n v="63935.982681308298"/>
  </r>
  <r>
    <n v="61498.820620060316"/>
  </r>
  <r>
    <n v="64066.255475774444"/>
  </r>
  <r>
    <n v="54756.673377736639"/>
  </r>
  <r>
    <n v="58155.796874074455"/>
  </r>
  <r>
    <n v="61917.887820955933"/>
  </r>
  <r>
    <n v="55593.157935328258"/>
  </r>
  <r>
    <n v="55610.989740557561"/>
  </r>
  <r>
    <n v="41835.554163163128"/>
  </r>
  <r>
    <n v="62862.254111289541"/>
  </r>
  <r>
    <n v="89945.047607862085"/>
  </r>
  <r>
    <n v="66910.232806204163"/>
  </r>
  <r>
    <n v="35732.300461243489"/>
  </r>
  <r>
    <n v="66025.696460866529"/>
  </r>
  <r>
    <n v="55202.03558913531"/>
  </r>
  <r>
    <n v="65429.677363618131"/>
  </r>
  <r>
    <n v="61693.043308652028"/>
  </r>
  <r>
    <n v="54913.905119849376"/>
  </r>
  <r>
    <n v="61385.53097962754"/>
  </r>
  <r>
    <n v="35506.527042281828"/>
  </r>
  <r>
    <n v="40542.961147163529"/>
  </r>
  <r>
    <n v="73938.325424413619"/>
  </r>
  <r>
    <n v="53770.142681623278"/>
  </r>
  <r>
    <n v="70223.862622956745"/>
  </r>
  <r>
    <n v="62701.788845824631"/>
  </r>
  <r>
    <n v="61822.341225251395"/>
  </r>
  <r>
    <n v="53813.651499915897"/>
  </r>
  <r>
    <n v="67656.674076596246"/>
  </r>
  <r>
    <n v="55673.871897350007"/>
  </r>
  <r>
    <n v="71844.013368325031"/>
  </r>
  <r>
    <n v="52137.297559478742"/>
  </r>
  <r>
    <n v="51329.753005563674"/>
  </r>
  <r>
    <n v="63868.238049762032"/>
  </r>
  <r>
    <n v="63643.807140297038"/>
  </r>
  <r>
    <n v="38725.557701523721"/>
  </r>
  <r>
    <n v="44298.494234315112"/>
  </r>
  <r>
    <n v="55593.129154313043"/>
  </r>
  <r>
    <n v="51015.573083785355"/>
  </r>
  <r>
    <n v="56036.644801004841"/>
  </r>
  <r>
    <n v="49495.815989021714"/>
  </r>
  <r>
    <n v="73789.706105452293"/>
  </r>
  <r>
    <n v="60907.626421892215"/>
  </r>
  <r>
    <n v="51393.96148267328"/>
  </r>
  <r>
    <n v="68735.309818370515"/>
  </r>
  <r>
    <n v="44335.398438913093"/>
  </r>
  <r>
    <n v="78284.835274416837"/>
  </r>
  <r>
    <n v="64539.514816432158"/>
  </r>
  <r>
    <n v="66488.160123207155"/>
  </r>
  <r>
    <n v="69330.488568017085"/>
  </r>
  <r>
    <n v="58751.547911430913"/>
  </r>
  <r>
    <n v="48149.020059009934"/>
  </r>
  <r>
    <n v="63908.196237197539"/>
  </r>
  <r>
    <n v="66038.849015321364"/>
  </r>
  <r>
    <n v="75311.315186033738"/>
  </r>
  <r>
    <n v="71656.681314283487"/>
  </r>
  <r>
    <n v="73188.964919079226"/>
  </r>
  <r>
    <n v="72006.970060686435"/>
  </r>
  <r>
    <n v="51388.369212093734"/>
  </r>
  <r>
    <n v="69906.126360236522"/>
  </r>
  <r>
    <n v="59203.434292791266"/>
  </r>
  <r>
    <n v="55117.120917309017"/>
  </r>
  <r>
    <n v="54227.493606695964"/>
  </r>
  <r>
    <n v="65868.366204066129"/>
  </r>
  <r>
    <n v="56667.616116282035"/>
  </r>
  <r>
    <n v="80960.820091089365"/>
  </r>
  <r>
    <n v="51985.326439799959"/>
  </r>
  <r>
    <n v="47048.852916790784"/>
  </r>
  <r>
    <n v="59008.133370451753"/>
  </r>
  <r>
    <n v="50130.977266287649"/>
  </r>
  <r>
    <n v="60889.436473851594"/>
  </r>
  <r>
    <n v="76351.903388593608"/>
  </r>
  <r>
    <n v="50992.110734216243"/>
  </r>
  <r>
    <n v="45619.223494164289"/>
  </r>
  <r>
    <n v="54175.126774679957"/>
  </r>
  <r>
    <n v="34567.353360442808"/>
  </r>
  <r>
    <n v="53231.492857431644"/>
  </r>
  <r>
    <n v="34147.125045995868"/>
  </r>
  <r>
    <n v="46090.726603516276"/>
  </r>
  <r>
    <n v="45508.426898428792"/>
  </r>
  <r>
    <n v="62338.261612296243"/>
  </r>
  <r>
    <n v="70859.536742349635"/>
  </r>
  <r>
    <n v="56048.244604629013"/>
  </r>
  <r>
    <n v="32628.482171809486"/>
  </r>
  <r>
    <n v="56969.134595885858"/>
  </r>
  <r>
    <n v="47142.552037308153"/>
  </r>
  <r>
    <n v="56853.710334377029"/>
  </r>
  <r>
    <n v="64394.177445731126"/>
  </r>
  <r>
    <n v="59346.312868921355"/>
  </r>
  <r>
    <n v="54588.271519434122"/>
  </r>
  <r>
    <n v="50436.996768036071"/>
  </r>
  <r>
    <n v="71281.566098386538"/>
  </r>
  <r>
    <n v="58966.649450567107"/>
  </r>
  <r>
    <n v="72455.084150186347"/>
  </r>
  <r>
    <n v="41432.824702346617"/>
  </r>
  <r>
    <n v="38044.904525268277"/>
  </r>
  <r>
    <n v="55371.059372990036"/>
  </r>
  <r>
    <n v="73801.390068482055"/>
  </r>
  <r>
    <n v="59205.044434554075"/>
  </r>
  <r>
    <n v="68617.403836121506"/>
  </r>
  <r>
    <n v="69536.933521291125"/>
  </r>
  <r>
    <n v="59614.156787672538"/>
  </r>
  <r>
    <n v="44503.278387310449"/>
  </r>
  <r>
    <n v="66170.000878751933"/>
  </r>
  <r>
    <n v="65907.878670416874"/>
  </r>
  <r>
    <n v="58119.891094540093"/>
  </r>
  <r>
    <n v="69468.225279042454"/>
  </r>
  <r>
    <n v="48480.398731751375"/>
  </r>
  <r>
    <n v="62976.44043406687"/>
  </r>
  <r>
    <n v="52017.887402925269"/>
  </r>
  <r>
    <n v="56837.847578836838"/>
  </r>
  <r>
    <n v="70876.435176852407"/>
  </r>
  <r>
    <n v="82485.072729005449"/>
  </r>
  <r>
    <n v="80566.115891858935"/>
  </r>
  <r>
    <n v="83910.275160680772"/>
  </r>
  <r>
    <n v="72169.322361223865"/>
  </r>
  <r>
    <n v="67258.404848576902"/>
  </r>
  <r>
    <n v="40221.71986936652"/>
  </r>
  <r>
    <n v="58147.309826546283"/>
  </r>
  <r>
    <n v="56245.544075074409"/>
  </r>
  <r>
    <n v="46495.701554596919"/>
  </r>
  <r>
    <n v="77537.24527035041"/>
  </r>
  <r>
    <n v="66577.457412103162"/>
  </r>
  <r>
    <n v="72301.383257932146"/>
  </r>
  <r>
    <n v="51969.546976280384"/>
  </r>
  <r>
    <n v="55578.23859969381"/>
  </r>
  <r>
    <n v="63746.284894451754"/>
  </r>
  <r>
    <n v="59706.900779941789"/>
  </r>
  <r>
    <n v="60101.8901975708"/>
  </r>
  <r>
    <n v="87283.39007060905"/>
  </r>
  <r>
    <n v="57997.313359111613"/>
  </r>
  <r>
    <n v="88267.992964726436"/>
  </r>
  <r>
    <n v="50905.85563421579"/>
  </r>
  <r>
    <n v="64862.635327634845"/>
  </r>
  <r>
    <n v="40255.778409196646"/>
  </r>
  <r>
    <n v="56637.445846942377"/>
  </r>
  <r>
    <n v="73620.211928189237"/>
  </r>
  <r>
    <n v="70666.99305274387"/>
  </r>
  <r>
    <n v="83006.633919677144"/>
  </r>
  <r>
    <n v="55111.037913849555"/>
  </r>
  <r>
    <n v="76079.023457293777"/>
  </r>
  <r>
    <n v="59285.455709588001"/>
  </r>
  <r>
    <n v="98917.20113157836"/>
  </r>
  <r>
    <n v="65535.588095935134"/>
  </r>
  <r>
    <n v="51868.631103868727"/>
  </r>
  <r>
    <n v="61483.665533349253"/>
  </r>
  <r>
    <n v="45407.601620206813"/>
  </r>
  <r>
    <n v="48507.354379024226"/>
  </r>
  <r>
    <n v="62033.839053089388"/>
  </r>
  <r>
    <n v="46143.214903012878"/>
  </r>
  <r>
    <n v="61352.347800700503"/>
  </r>
  <r>
    <n v="61345.180032845914"/>
  </r>
  <r>
    <n v="61105.672401814882"/>
  </r>
  <r>
    <n v="43366.150581971968"/>
  </r>
  <r>
    <n v="56731.164601277305"/>
  </r>
  <r>
    <n v="59609.13726610344"/>
  </r>
  <r>
    <n v="77548.024080480187"/>
  </r>
  <r>
    <n v="53305.009726708522"/>
  </r>
  <r>
    <n v="63693.250929210844"/>
  </r>
  <r>
    <n v="76891.603902171191"/>
  </r>
  <r>
    <n v="71507.400644493726"/>
  </r>
  <r>
    <n v="46036.020023984318"/>
  </r>
  <r>
    <n v="60723.709472878865"/>
  </r>
  <r>
    <n v="57971.029909240788"/>
  </r>
  <r>
    <n v="80849.723729531048"/>
  </r>
  <r>
    <n v="59518.183854959942"/>
  </r>
  <r>
    <n v="38494.939819299172"/>
  </r>
  <r>
    <n v="36620.396613049583"/>
  </r>
  <r>
    <n v="43620.943998877403"/>
  </r>
  <r>
    <n v="69147.881517924194"/>
  </r>
  <r>
    <n v="67264.771776721929"/>
  </r>
  <r>
    <n v="67521.493007212746"/>
  </r>
  <r>
    <n v="51028.146595124068"/>
  </r>
  <r>
    <n v="64994.859387513687"/>
  </r>
  <r>
    <n v="85777.053186414589"/>
  </r>
  <r>
    <n v="58780.504316820457"/>
  </r>
  <r>
    <n v="52261.409372758768"/>
  </r>
  <r>
    <n v="53269.704686369107"/>
  </r>
  <r>
    <n v="66304.17697151372"/>
  </r>
  <r>
    <n v="57228.488077297763"/>
  </r>
  <r>
    <n v="70190.4529674933"/>
  </r>
  <r>
    <n v="52057.115859353107"/>
  </r>
  <r>
    <n v="62360.727498350156"/>
  </r>
  <r>
    <n v="44792.310147826916"/>
  </r>
  <r>
    <n v="70171.488409156518"/>
  </r>
  <r>
    <n v="58219.875820491543"/>
  </r>
  <r>
    <n v="62028.831072025678"/>
  </r>
  <r>
    <n v="63912.407798483146"/>
  </r>
  <r>
    <n v="43676.928364273401"/>
  </r>
  <r>
    <n v="37250.689742308932"/>
  </r>
  <r>
    <n v="73137.181426353665"/>
  </r>
  <r>
    <n v="52049.537747703573"/>
  </r>
  <r>
    <n v="38807.325739790598"/>
  </r>
  <r>
    <n v="54724.053940871236"/>
  </r>
  <r>
    <n v="65204.261914256844"/>
  </r>
  <r>
    <n v="69807.797172181774"/>
  </r>
  <r>
    <n v="45570.716006503273"/>
  </r>
  <r>
    <n v="55192.472362687178"/>
  </r>
  <r>
    <n v="56086.008286431024"/>
  </r>
  <r>
    <n v="66800.576353418408"/>
  </r>
  <r>
    <n v="61974.649940705523"/>
  </r>
  <r>
    <n v="56849.648403557156"/>
  </r>
  <r>
    <n v="56697.041385875928"/>
  </r>
  <r>
    <n v="71416.931586087216"/>
  </r>
  <r>
    <n v="62986.139114039877"/>
  </r>
  <r>
    <n v="56471.945066164866"/>
  </r>
  <r>
    <n v="56601.2548474168"/>
  </r>
  <r>
    <n v="45897.839627364221"/>
  </r>
  <r>
    <n v="35291.83620982639"/>
  </r>
  <r>
    <n v="50986.815882803625"/>
  </r>
  <r>
    <n v="53280.678744682373"/>
  </r>
  <r>
    <n v="58460.539441610781"/>
  </r>
  <r>
    <n v="68068.942794281887"/>
  </r>
  <r>
    <n v="55364.454418961373"/>
  </r>
  <r>
    <n v="67387.172697588539"/>
  </r>
  <r>
    <n v="53187.222348116746"/>
  </r>
  <r>
    <n v="50824.297448683072"/>
  </r>
  <r>
    <n v="75263.741587266763"/>
  </r>
  <r>
    <n v="52251.458043184954"/>
  </r>
  <r>
    <n v="60655.757258721751"/>
  </r>
  <r>
    <n v="66572.565536743481"/>
  </r>
  <r>
    <n v="58454.622435694248"/>
  </r>
  <r>
    <n v="48722.684276042186"/>
  </r>
  <r>
    <n v="85773.573173261218"/>
  </r>
  <r>
    <n v="53558.537787715708"/>
  </r>
  <r>
    <n v="62867.050937069158"/>
  </r>
  <r>
    <n v="81307.351589114682"/>
  </r>
  <r>
    <n v="49532.578336679595"/>
  </r>
  <r>
    <n v="52872.18877597012"/>
  </r>
  <r>
    <n v="93793.000828395074"/>
  </r>
  <r>
    <n v="47006.415805770805"/>
  </r>
  <r>
    <n v="35438.06603395001"/>
  </r>
  <r>
    <n v="55407.005722158152"/>
  </r>
  <r>
    <n v="67630.95012358058"/>
  </r>
  <r>
    <n v="51637.87540902914"/>
  </r>
  <r>
    <n v="53459.386215514744"/>
  </r>
  <r>
    <n v="65594.333512498022"/>
  </r>
  <r>
    <n v="57664.651973515764"/>
  </r>
  <r>
    <n v="59753.256745364117"/>
  </r>
  <r>
    <n v="63484.476731759118"/>
  </r>
  <r>
    <n v="58304.973925136481"/>
  </r>
  <r>
    <n v="49253.468648214315"/>
  </r>
  <r>
    <n v="60034.870013819651"/>
  </r>
  <r>
    <n v="68292.38154282108"/>
  </r>
  <r>
    <n v="73949.368520347998"/>
  </r>
  <r>
    <n v="69437.952384041608"/>
  </r>
  <r>
    <n v="48659.434765183527"/>
  </r>
  <r>
    <n v="59864.989625091315"/>
  </r>
  <r>
    <n v="73088.634587751469"/>
  </r>
  <r>
    <n v="66821.801435795118"/>
  </r>
  <r>
    <n v="58835.011232937279"/>
  </r>
  <r>
    <n v="52716.997794728908"/>
  </r>
  <r>
    <n v="46246.48728985354"/>
  </r>
  <r>
    <n v="55019.902694148041"/>
  </r>
  <r>
    <n v="66470.454605243634"/>
  </r>
  <r>
    <n v="59777.926526004216"/>
  </r>
  <r>
    <n v="61535.038751533786"/>
  </r>
  <r>
    <n v="38744.028711800129"/>
  </r>
  <r>
    <n v="69910.066637616401"/>
  </r>
  <r>
    <n v="62928.836722321976"/>
  </r>
  <r>
    <n v="54752.927743332832"/>
  </r>
  <r>
    <n v="51267.492084035723"/>
  </r>
  <r>
    <n v="56397.005924150435"/>
  </r>
  <r>
    <n v="41266.512945955787"/>
  </r>
  <r>
    <n v="68120.369695943125"/>
  </r>
  <r>
    <n v="56944.382853661475"/>
  </r>
  <r>
    <n v="56296.13554674101"/>
  </r>
  <r>
    <n v="57426.77685653045"/>
  </r>
  <r>
    <n v="55355.008194048125"/>
  </r>
  <r>
    <n v="56905.977637630007"/>
  </r>
  <r>
    <n v="66059.99469860422"/>
  </r>
  <r>
    <n v="73406.565498718381"/>
  </r>
  <r>
    <n v="70421.650885822877"/>
  </r>
  <r>
    <n v="39995.232118560307"/>
  </r>
  <r>
    <n v="67685.464049523478"/>
  </r>
  <r>
    <n v="53386.95514813358"/>
  </r>
  <r>
    <n v="51050.111620915966"/>
  </r>
  <r>
    <n v="62714.26653110503"/>
  </r>
  <r>
    <n v="49099.257571438276"/>
  </r>
  <r>
    <n v="71432.042463311693"/>
  </r>
  <r>
    <n v="57718.607293413246"/>
  </r>
  <r>
    <n v="46003.939435644053"/>
  </r>
  <r>
    <n v="59015.337981379424"/>
  </r>
  <r>
    <n v="80973.553153882036"/>
  </r>
  <r>
    <n v="76085.466793979824"/>
  </r>
  <r>
    <n v="53373.664799497863"/>
  </r>
  <r>
    <n v="55493.926696299037"/>
  </r>
  <r>
    <n v="63974.518773520707"/>
  </r>
  <r>
    <n v="62335.646214820663"/>
  </r>
  <r>
    <n v="71462.953667108653"/>
  </r>
  <r>
    <n v="65854.684806600912"/>
  </r>
  <r>
    <n v="39972.910654470419"/>
  </r>
  <r>
    <n v="57616.436960420877"/>
  </r>
  <r>
    <n v="58760.940861640178"/>
  </r>
  <r>
    <n v="34608.044033297498"/>
  </r>
  <r>
    <n v="65586.536321373787"/>
  </r>
  <r>
    <n v="66959.464768951118"/>
  </r>
  <r>
    <n v="52766.232272684305"/>
  </r>
  <r>
    <n v="39301.055985255065"/>
  </r>
  <r>
    <n v="46444.166280000398"/>
  </r>
  <r>
    <n v="51304.071519650694"/>
  </r>
  <r>
    <n v="51578.757372432752"/>
  </r>
  <r>
    <n v="68418.251844985076"/>
  </r>
  <r>
    <n v="67284.552771857809"/>
  </r>
  <r>
    <n v="67169.030465408156"/>
  </r>
  <r>
    <n v="39675.234144784408"/>
  </r>
  <r>
    <n v="47591.399299307566"/>
  </r>
  <r>
    <n v="62570.017848005948"/>
  </r>
  <r>
    <n v="38995.678679312048"/>
  </r>
  <r>
    <n v="70324.938189803521"/>
  </r>
  <r>
    <n v="47324.162888099898"/>
  </r>
  <r>
    <n v="66406.38010408773"/>
  </r>
  <r>
    <n v="29804.548113373789"/>
  </r>
  <r>
    <n v="64434.864663583612"/>
  </r>
  <r>
    <n v="68380.742365223225"/>
  </r>
  <r>
    <n v="92680.264736928279"/>
  </r>
  <r>
    <n v="73967.144442810648"/>
  </r>
  <r>
    <n v="56456.366704155931"/>
  </r>
  <r>
    <n v="61967.130976235123"/>
  </r>
  <r>
    <n v="57246.176631455433"/>
  </r>
  <r>
    <n v="52437.168579766447"/>
  </r>
  <r>
    <n v="55919.511448115176"/>
  </r>
  <r>
    <n v="60213.396168016487"/>
  </r>
  <r>
    <n v="30256.090702665351"/>
  </r>
  <r>
    <n v="54258.779579110975"/>
  </r>
  <r>
    <n v="77139.95469038545"/>
  </r>
  <r>
    <n v="62494.417814882712"/>
  </r>
  <r>
    <n v="57845.513951837776"/>
  </r>
  <r>
    <n v="68119.368584008975"/>
  </r>
  <r>
    <n v="67231.320704202968"/>
  </r>
  <r>
    <n v="75353.209175854528"/>
  </r>
  <r>
    <n v="47233.512254350622"/>
  </r>
  <r>
    <n v="81671.36125441207"/>
  </r>
  <r>
    <n v="67887.063887632408"/>
  </r>
  <r>
    <n v="50730.897545622567"/>
  </r>
  <r>
    <n v="61256.90619487661"/>
  </r>
  <r>
    <n v="66195.567998779763"/>
  </r>
  <r>
    <n v="62883.559364166125"/>
  </r>
  <r>
    <n v="68745.87061463212"/>
  </r>
  <r>
    <n v="56247.002846836505"/>
  </r>
  <r>
    <n v="52094.560403453339"/>
  </r>
  <r>
    <n v="56022.486503854925"/>
  </r>
  <r>
    <n v="78545.332847842452"/>
  </r>
  <r>
    <n v="84094.659342652012"/>
  </r>
  <r>
    <n v="64880.064273778778"/>
  </r>
  <r>
    <n v="55206.33420635989"/>
  </r>
  <r>
    <n v="55183.567251231805"/>
  </r>
  <r>
    <n v="55140.569517621443"/>
  </r>
  <r>
    <n v="72726.061231988147"/>
  </r>
  <r>
    <n v="64302.666608729014"/>
  </r>
  <r>
    <n v="58480.765721806616"/>
  </r>
  <r>
    <n v="65628.199281254783"/>
  </r>
  <r>
    <n v="75467.486743907633"/>
  </r>
  <r>
    <n v="46681.305613616132"/>
  </r>
  <r>
    <n v="40364.808610828346"/>
  </r>
  <r>
    <n v="63475.50936663324"/>
  </r>
  <r>
    <n v="57104.987479288604"/>
  </r>
  <r>
    <n v="55887.284354244832"/>
  </r>
  <r>
    <n v="72460.796881088158"/>
  </r>
  <r>
    <n v="36138.352688258907"/>
  </r>
  <r>
    <n v="74207.622476056582"/>
  </r>
  <r>
    <n v="63644.837752521053"/>
  </r>
  <r>
    <n v="66257.292328332856"/>
  </r>
  <r>
    <n v="37560.759909336935"/>
  </r>
  <r>
    <n v="61750.237599242384"/>
  </r>
  <r>
    <n v="64242.643728477298"/>
  </r>
  <r>
    <n v="70215.929071630308"/>
  </r>
  <r>
    <n v="47004.911406119354"/>
  </r>
  <r>
    <n v="71335.000132881483"/>
  </r>
  <r>
    <n v="49976.649097866692"/>
  </r>
  <r>
    <n v="62681.572609617928"/>
  </r>
  <r>
    <n v="60059.390745911187"/>
  </r>
  <r>
    <n v="62248.082680507119"/>
  </r>
  <r>
    <n v="57368.092684518437"/>
  </r>
  <r>
    <n v="55803.298985398258"/>
  </r>
  <r>
    <n v="40839.57136230485"/>
  </r>
  <r>
    <n v="61212.241068889954"/>
  </r>
  <r>
    <n v="56890.934447389955"/>
  </r>
  <r>
    <n v="56523.104803631919"/>
  </r>
  <r>
    <n v="50664.248910407441"/>
  </r>
  <r>
    <n v="55852.224842071795"/>
  </r>
  <r>
    <n v="51535.730591084925"/>
  </r>
  <r>
    <n v="56166.050960604807"/>
  </r>
  <r>
    <n v="81392.509422113362"/>
  </r>
  <r>
    <n v="51164.742000505947"/>
  </r>
  <r>
    <n v="66546.067102865112"/>
  </r>
  <r>
    <n v="51703.337401732337"/>
  </r>
  <r>
    <n v="47620.244911575784"/>
  </r>
  <r>
    <n v="101590.66739924863"/>
  </r>
  <r>
    <n v="59706.291004824176"/>
  </r>
  <r>
    <n v="52064.696840743709"/>
  </r>
  <r>
    <n v="22334.59619729453"/>
  </r>
  <r>
    <n v="56035.86475062558"/>
  </r>
  <r>
    <n v="50495.010732983443"/>
  </r>
  <r>
    <n v="64682.545286492423"/>
  </r>
  <r>
    <n v="70507.602371713525"/>
  </r>
  <r>
    <n v="49067.190746407454"/>
  </r>
  <r>
    <n v="73190.833660216071"/>
  </r>
  <r>
    <n v="60807.31199884649"/>
  </r>
  <r>
    <n v="46607.513228841111"/>
  </r>
  <r>
    <n v="32829.296462561426"/>
  </r>
  <r>
    <n v="59993.050483055355"/>
  </r>
  <r>
    <n v="63145.717746239752"/>
  </r>
  <r>
    <n v="55842.709684104666"/>
  </r>
  <r>
    <n v="68147.463179489831"/>
  </r>
  <r>
    <n v="63895.478574437999"/>
  </r>
  <r>
    <n v="87996.741425331042"/>
  </r>
  <r>
    <n v="82219.81850770727"/>
  </r>
  <r>
    <n v="66401.650564005744"/>
  </r>
  <r>
    <n v="59594.963076583648"/>
  </r>
  <r>
    <n v="35942.713593218738"/>
  </r>
  <r>
    <n v="56430.673959294305"/>
  </r>
  <r>
    <n v="56996.810619391457"/>
  </r>
  <r>
    <n v="69171.198954150037"/>
  </r>
  <r>
    <n v="48689.308537894489"/>
  </r>
  <r>
    <n v="67643.111184572714"/>
  </r>
  <r>
    <n v="44471.442618849862"/>
  </r>
  <r>
    <n v="75194.698070273502"/>
  </r>
  <r>
    <n v="49543.813720348015"/>
  </r>
  <r>
    <n v="45004.008444391744"/>
  </r>
  <r>
    <n v="61557.602591542352"/>
  </r>
  <r>
    <n v="53480.41792757553"/>
  </r>
  <r>
    <n v="44420.709830754422"/>
  </r>
  <r>
    <n v="45094.767721291137"/>
  </r>
  <r>
    <n v="59364.837251346311"/>
  </r>
  <r>
    <n v="77459.66546544616"/>
  </r>
  <r>
    <n v="33075.654293817403"/>
  </r>
  <r>
    <n v="52912.043937878669"/>
  </r>
  <r>
    <n v="54098.303466217614"/>
  </r>
  <r>
    <n v="54619.806849614644"/>
  </r>
  <r>
    <n v="51046.233493691303"/>
  </r>
  <r>
    <n v="54019.063452121889"/>
  </r>
  <r>
    <n v="70477.812475974235"/>
  </r>
  <r>
    <n v="53572.798121978805"/>
  </r>
  <r>
    <n v="82659.456292141651"/>
  </r>
  <r>
    <n v="70837.896670018235"/>
  </r>
  <r>
    <n v="78976.43266806379"/>
  </r>
  <r>
    <n v="69008.06328311775"/>
  </r>
  <r>
    <n v="37648.333440780087"/>
  </r>
  <r>
    <n v="84814.951693519106"/>
  </r>
  <r>
    <n v="60230.560681020434"/>
  </r>
  <r>
    <n v="51727.833602749975"/>
  </r>
  <r>
    <n v="64936.077662544907"/>
  </r>
  <r>
    <n v="77913.489762445271"/>
  </r>
  <r>
    <n v="57608.708161685703"/>
  </r>
  <r>
    <n v="62997.548643908318"/>
  </r>
  <r>
    <n v="64911.792850092766"/>
  </r>
  <r>
    <n v="51312.39501247678"/>
  </r>
  <r>
    <n v="73663.562980963077"/>
  </r>
  <r>
    <n v="43911.057156867697"/>
  </r>
  <r>
    <n v="75226.90899732057"/>
  </r>
  <r>
    <n v="48949.296676155544"/>
  </r>
  <r>
    <n v="45333.895324612262"/>
  </r>
  <r>
    <n v="51592.172285565088"/>
  </r>
  <r>
    <n v="55935.057773383254"/>
  </r>
  <r>
    <n v="95905.821846901308"/>
  </r>
  <r>
    <n v="33859.539525527354"/>
  </r>
  <r>
    <n v="33608.991012263519"/>
  </r>
  <r>
    <n v="53662.152671143296"/>
  </r>
  <r>
    <n v="54908.450073586217"/>
  </r>
  <r>
    <n v="51476.774161798727"/>
  </r>
  <r>
    <n v="50121.181500116938"/>
  </r>
  <r>
    <n v="45280.947119681681"/>
  </r>
  <r>
    <n v="77531.248757317051"/>
  </r>
  <r>
    <n v="63766.501694835606"/>
  </r>
  <r>
    <n v="71027.499301575575"/>
  </r>
  <r>
    <n v="63424.647269423338"/>
  </r>
  <r>
    <n v="59688.270902028118"/>
  </r>
  <r>
    <n v="48431.601305441902"/>
  </r>
  <r>
    <n v="63742.083112116445"/>
  </r>
  <r>
    <n v="67994.800586108147"/>
  </r>
  <r>
    <n v="47816.469248935748"/>
  </r>
  <r>
    <n v="51144.924514568425"/>
  </r>
  <r>
    <n v="56558.980186315202"/>
  </r>
  <r>
    <n v="56246.034494127642"/>
  </r>
  <r>
    <n v="90992.959958805892"/>
  </r>
  <r>
    <n v="63256.282835410479"/>
  </r>
  <r>
    <n v="48145.001745140871"/>
  </r>
  <r>
    <n v="51658.388761313872"/>
  </r>
  <r>
    <n v="81770.493345822862"/>
  </r>
  <r>
    <n v="69315.425846770988"/>
  </r>
  <r>
    <n v="59491.12387078441"/>
  </r>
  <r>
    <n v="48342.106480954673"/>
  </r>
  <r>
    <n v="57861.993615647618"/>
  </r>
  <r>
    <n v="51104.878623082026"/>
  </r>
  <r>
    <n v="61298.530026173321"/>
  </r>
  <r>
    <n v="63080.060765899791"/>
  </r>
  <r>
    <n v="49202.241996896861"/>
  </r>
  <r>
    <n v="58401.943099788274"/>
  </r>
  <r>
    <n v="53852.55716194884"/>
  </r>
  <r>
    <n v="44975.222869452082"/>
  </r>
  <r>
    <n v="51452.86209755038"/>
  </r>
  <r>
    <n v="56613.622569236155"/>
  </r>
  <r>
    <n v="54694.852954183909"/>
  </r>
  <r>
    <n v="66800.194673643768"/>
  </r>
  <r>
    <n v="60648.191582548563"/>
  </r>
  <r>
    <n v="71539.827697943037"/>
  </r>
  <r>
    <n v="62971.373907349771"/>
  </r>
  <r>
    <n v="60535.660254360948"/>
  </r>
  <r>
    <n v="75180.160976788815"/>
  </r>
  <r>
    <n v="62972.030155989276"/>
  </r>
  <r>
    <n v="50039.97214784161"/>
  </r>
  <r>
    <n v="53403.851215350951"/>
  </r>
  <r>
    <n v="47955.887838896248"/>
  </r>
  <r>
    <n v="55353.058173784491"/>
  </r>
  <r>
    <n v="56642.222970466086"/>
  </r>
  <r>
    <n v="48800.545035686882"/>
  </r>
  <r>
    <n v="71842.252870363067"/>
  </r>
  <r>
    <n v="54745.303101084617"/>
  </r>
  <r>
    <n v="59919.095512615633"/>
  </r>
  <r>
    <n v="72410.576633040226"/>
  </r>
  <r>
    <n v="52933.9183302198"/>
  </r>
  <r>
    <n v="56851.34658008282"/>
  </r>
  <r>
    <n v="66781.884175436397"/>
  </r>
  <r>
    <n v="60078.219502258202"/>
  </r>
  <r>
    <n v="69077.018172433876"/>
  </r>
  <r>
    <n v="49025.220980892722"/>
  </r>
  <r>
    <n v="60039.843373033873"/>
  </r>
  <r>
    <n v="61788.127516393593"/>
  </r>
  <r>
    <n v="41680.248246859373"/>
  </r>
  <r>
    <n v="72521.446872990316"/>
  </r>
  <r>
    <n v="53894.997568100429"/>
  </r>
  <r>
    <n v="48840.054057597445"/>
  </r>
  <r>
    <n v="63067.083469211895"/>
  </r>
  <r>
    <n v="46442.894636235076"/>
  </r>
  <r>
    <n v="43663.513744398311"/>
  </r>
  <r>
    <n v="56625.868314128777"/>
  </r>
  <r>
    <n v="52537.620350530095"/>
  </r>
  <r>
    <n v="62269.122203224826"/>
  </r>
  <r>
    <n v="55336.348225417125"/>
  </r>
  <r>
    <n v="40980.431959177964"/>
  </r>
  <r>
    <n v="45351.101244120619"/>
  </r>
  <r>
    <n v="65615.023446211926"/>
  </r>
  <r>
    <n v="44496.857716055172"/>
  </r>
  <r>
    <n v="78818.87254368201"/>
  </r>
  <r>
    <n v="51461.476117462254"/>
  </r>
  <r>
    <n v="51502.219163426715"/>
  </r>
  <r>
    <n v="65755.846167459618"/>
  </r>
  <r>
    <n v="52053.331145644384"/>
  </r>
  <r>
    <n v="52157.43371115403"/>
  </r>
  <r>
    <n v="86432.505420442118"/>
  </r>
  <r>
    <n v="59517.153145017503"/>
  </r>
  <r>
    <n v="42650.275685045257"/>
  </r>
  <r>
    <n v="65646.625219530892"/>
  </r>
  <r>
    <n v="64973.94010781528"/>
  </r>
  <r>
    <n v="48649.896862598631"/>
  </r>
  <r>
    <n v="90477.809075494821"/>
  </r>
  <r>
    <n v="73391.632263980762"/>
  </r>
  <r>
    <n v="62589.8815325221"/>
  </r>
  <r>
    <n v="68185.293449113437"/>
  </r>
  <r>
    <n v="71399.2664081689"/>
  </r>
  <r>
    <n v="57321.251314466215"/>
  </r>
  <r>
    <n v="68263.688308933342"/>
  </r>
  <r>
    <n v="53987.609939046306"/>
  </r>
  <r>
    <n v="36132.897042963014"/>
  </r>
  <r>
    <n v="50628.358714663889"/>
  </r>
  <r>
    <n v="49082.576188620216"/>
  </r>
  <r>
    <n v="72213.851274982881"/>
  </r>
  <r>
    <n v="54538.511973843604"/>
  </r>
  <r>
    <n v="44838.942730356852"/>
  </r>
  <r>
    <n v="56338.140658810786"/>
  </r>
  <r>
    <n v="57549.001366126045"/>
  </r>
  <r>
    <n v="45740.178990662171"/>
  </r>
  <r>
    <n v="42321.965033423483"/>
  </r>
  <r>
    <n v="46466.34903688998"/>
  </r>
  <r>
    <n v="54718.073996190527"/>
  </r>
  <r>
    <n v="60146.258155390824"/>
  </r>
  <r>
    <n v="64908.616672914737"/>
  </r>
  <r>
    <n v="44347.237967028275"/>
  </r>
  <r>
    <n v="42978.008279766727"/>
  </r>
  <r>
    <n v="59931.177732442782"/>
  </r>
  <r>
    <n v="42994.881518196402"/>
  </r>
  <r>
    <n v="75837.209304325224"/>
  </r>
  <r>
    <n v="53377.638555743062"/>
  </r>
  <r>
    <n v="67144.043518559629"/>
  </r>
  <r>
    <n v="55013.799341255341"/>
  </r>
  <r>
    <n v="69368.248152920758"/>
  </r>
  <r>
    <n v="68935.672261049331"/>
  </r>
  <r>
    <n v="56440.480199364676"/>
  </r>
  <r>
    <n v="55408.735814984109"/>
  </r>
  <r>
    <n v="53756.217218257843"/>
  </r>
  <r>
    <n v="69059.931034402194"/>
  </r>
  <r>
    <n v="36184.309851959311"/>
  </r>
  <r>
    <n v="43873.979506445212"/>
  </r>
  <r>
    <n v="54773.708797129555"/>
  </r>
  <r>
    <n v="50798.74870850335"/>
  </r>
  <r>
    <n v="53798.072212725769"/>
  </r>
  <r>
    <n v="52918.628531599163"/>
  </r>
  <r>
    <n v="65662.271644513807"/>
  </r>
  <r>
    <n v="52247.418501173357"/>
  </r>
  <r>
    <n v="58055.755350084582"/>
  </r>
  <r>
    <n v="56041.067282404088"/>
  </r>
  <r>
    <n v="58788.409829631673"/>
  </r>
  <r>
    <n v="62269.122369822253"/>
  </r>
  <r>
    <n v="62167.5728508338"/>
  </r>
  <r>
    <n v="72266.23328326823"/>
  </r>
  <r>
    <n v="57376.03522072763"/>
  </r>
  <r>
    <n v="52475.020533486189"/>
  </r>
  <r>
    <n v="74194.878425886258"/>
  </r>
  <r>
    <n v="49161.626553161965"/>
  </r>
  <r>
    <n v="50686.275893722763"/>
  </r>
  <r>
    <n v="68899.20449644819"/>
  </r>
  <r>
    <n v="70127.01038087692"/>
  </r>
  <r>
    <n v="67617.88152694075"/>
  </r>
  <r>
    <n v="68388.848477766835"/>
  </r>
  <r>
    <n v="61244.01325410531"/>
  </r>
  <r>
    <n v="49827.462359837045"/>
  </r>
  <r>
    <n v="47090.13708729457"/>
  </r>
  <r>
    <n v="56834.934723842511"/>
  </r>
  <r>
    <n v="50321.431560150835"/>
  </r>
  <r>
    <n v="55144.232255388146"/>
  </r>
  <r>
    <n v="58601.674903417719"/>
  </r>
  <r>
    <n v="29029.32544110774"/>
  </r>
  <r>
    <n v="55467.764665726005"/>
  </r>
  <r>
    <n v="85753.008607548312"/>
  </r>
  <r>
    <n v="65031.837794288229"/>
  </r>
  <r>
    <n v="58544.212536610888"/>
  </r>
  <r>
    <n v="72009.894599574094"/>
  </r>
  <r>
    <n v="32454.89135956714"/>
  </r>
  <r>
    <n v="68731.447657121549"/>
  </r>
  <r>
    <n v="73022.484887134793"/>
  </r>
  <r>
    <n v="84453.509616578987"/>
  </r>
  <r>
    <n v="67372.28483052006"/>
  </r>
  <r>
    <n v="63286.727755454842"/>
  </r>
  <r>
    <n v="50875.265801986723"/>
  </r>
  <r>
    <n v="49916.47293398661"/>
  </r>
  <r>
    <n v="58262.225997704598"/>
  </r>
  <r>
    <n v="70488.277020623704"/>
  </r>
  <r>
    <n v="47617.631358887535"/>
  </r>
  <r>
    <n v="28951.47441321615"/>
  </r>
  <r>
    <n v="68487.970244886135"/>
  </r>
  <r>
    <n v="41354.572204821387"/>
  </r>
  <r>
    <n v="45144.440321833812"/>
  </r>
  <r>
    <n v="68293.087497921806"/>
  </r>
  <r>
    <n v="44593.751381500289"/>
  </r>
  <r>
    <n v="66563.455953239652"/>
  </r>
  <r>
    <n v="82402.184428681678"/>
  </r>
  <r>
    <n v="59189.900834353182"/>
  </r>
  <r>
    <n v="81842.376678943838"/>
  </r>
  <r>
    <n v="46394.175988863535"/>
  </r>
  <r>
    <n v="60259.608593806952"/>
  </r>
  <r>
    <n v="36222.615022042766"/>
  </r>
  <r>
    <n v="53742.672957207811"/>
  </r>
  <r>
    <n v="52157.317689530508"/>
  </r>
  <r>
    <n v="86021.655349652254"/>
  </r>
  <r>
    <n v="62153.119197987238"/>
  </r>
  <r>
    <n v="64974.165942177031"/>
  </r>
  <r>
    <n v="38605.997449090399"/>
  </r>
  <r>
    <n v="64687.101700882282"/>
  </r>
  <r>
    <n v="58213.825812134055"/>
  </r>
  <r>
    <n v="62701.231218997389"/>
  </r>
  <r>
    <n v="72005.955265781988"/>
  </r>
  <r>
    <n v="65115.37773210257"/>
  </r>
  <r>
    <n v="49852.522876854513"/>
  </r>
  <r>
    <n v="60373.54284914337"/>
  </r>
  <r>
    <n v="49317.867522215442"/>
  </r>
  <r>
    <n v="67656.25205758182"/>
  </r>
  <r>
    <n v="59702.596231218718"/>
  </r>
  <r>
    <n v="83960.186507300503"/>
  </r>
  <r>
    <n v="74298.164397857967"/>
  </r>
  <r>
    <n v="40740.152035436513"/>
  </r>
  <r>
    <n v="62020.647322595716"/>
  </r>
  <r>
    <n v="68541.150801502547"/>
  </r>
  <r>
    <n v="46088.725600208643"/>
  </r>
  <r>
    <n v="64716.573495964825"/>
  </r>
  <r>
    <n v="49538.262770830137"/>
  </r>
  <r>
    <n v="49921.709446283843"/>
  </r>
  <r>
    <n v="48950.247853931425"/>
  </r>
  <r>
    <n v="62876.751264649669"/>
  </r>
  <r>
    <n v="54508.901371589818"/>
  </r>
  <r>
    <n v="40956.899719728448"/>
  </r>
  <r>
    <n v="47708.968484805409"/>
  </r>
  <r>
    <n v="34068.159726727754"/>
  </r>
  <r>
    <n v="86523.042160764657"/>
  </r>
  <r>
    <n v="75268.654201149533"/>
  </r>
  <r>
    <n v="40925.260801195"/>
  </r>
  <r>
    <n v="58475.73741358611"/>
  </r>
  <r>
    <n v="49591.994662089361"/>
  </r>
  <r>
    <n v="54708.797498044943"/>
  </r>
  <r>
    <n v="56724.830429075155"/>
  </r>
  <r>
    <n v="65803.232441222121"/>
  </r>
  <r>
    <n v="29193.873038515383"/>
  </r>
  <r>
    <n v="65782.931052473636"/>
  </r>
  <r>
    <n v="61826.598715936001"/>
  </r>
  <r>
    <n v="56633.271148507054"/>
  </r>
  <r>
    <n v="42000.315198657641"/>
  </r>
  <r>
    <n v="76567.531179212019"/>
  </r>
  <r>
    <n v="56951.379926354566"/>
  </r>
  <r>
    <n v="25482.332225625854"/>
  </r>
  <r>
    <n v="41995.667566669559"/>
  </r>
  <r>
    <n v="51707.225454514257"/>
  </r>
  <r>
    <n v="79017.926453315376"/>
  </r>
  <r>
    <n v="64961.742423064927"/>
  </r>
  <r>
    <n v="56421.012550034902"/>
  </r>
  <r>
    <n v="56641.961347605131"/>
  </r>
  <r>
    <n v="41610.090776016696"/>
  </r>
  <r>
    <n v="63534.345464531107"/>
  </r>
  <r>
    <n v="53053.885984667853"/>
  </r>
  <r>
    <n v="59060.738662946169"/>
  </r>
  <r>
    <n v="54888.428352060655"/>
  </r>
  <r>
    <n v="54251.843576423642"/>
  </r>
  <r>
    <n v="69875.800658711611"/>
  </r>
  <r>
    <n v="72797.600702224809"/>
  </r>
  <r>
    <n v="41039.369297488156"/>
  </r>
  <r>
    <n v="69700.159061528859"/>
  </r>
  <r>
    <n v="39143.088207980087"/>
  </r>
  <r>
    <n v="75032.168505537658"/>
  </r>
  <r>
    <n v="42306.897472315832"/>
  </r>
  <r>
    <n v="53873.773752386485"/>
  </r>
  <r>
    <n v="80440.792413563177"/>
  </r>
  <r>
    <n v="89089.566936409668"/>
  </r>
  <r>
    <n v="60288.162029148967"/>
  </r>
  <r>
    <n v="72205.024011439295"/>
  </r>
  <r>
    <n v="48279.422929587541"/>
  </r>
  <r>
    <n v="46504.578890850651"/>
  </r>
  <r>
    <n v="65237.263585673994"/>
  </r>
  <r>
    <n v="65145.881272188897"/>
  </r>
  <r>
    <n v="68200.720517016671"/>
  </r>
  <r>
    <n v="27943.594547331923"/>
  </r>
  <r>
    <n v="29276.146552965231"/>
  </r>
  <r>
    <n v="71411.874958401168"/>
  </r>
  <r>
    <n v="53795.522202078799"/>
  </r>
  <r>
    <n v="37587.557101730898"/>
  </r>
  <r>
    <n v="33474.77822824227"/>
  </r>
  <r>
    <n v="67563.495654174738"/>
  </r>
  <r>
    <n v="67701.636598478144"/>
  </r>
  <r>
    <n v="39200.290804057993"/>
  </r>
  <r>
    <n v="63227.872932784492"/>
  </r>
  <r>
    <n v="61418.818909536203"/>
  </r>
  <r>
    <n v="39238.666709736637"/>
  </r>
  <r>
    <n v="77218.422646582607"/>
  </r>
  <r>
    <n v="77619.235531821381"/>
  </r>
  <r>
    <n v="47251.656386188995"/>
  </r>
  <r>
    <n v="62124.026687968544"/>
  </r>
  <r>
    <n v="43156.972556000532"/>
  </r>
  <r>
    <n v="65772.015000662126"/>
  </r>
  <r>
    <n v="70340.142325759516"/>
  </r>
  <r>
    <n v="60069.04402837954"/>
  </r>
  <r>
    <n v="53631.105942037866"/>
  </r>
  <r>
    <n v="71603.703595579704"/>
  </r>
  <r>
    <n v="66795.89374259123"/>
  </r>
  <r>
    <n v="71796.685472082638"/>
  </r>
  <r>
    <n v="80246.203913633013"/>
  </r>
  <r>
    <n v="64824.04490334796"/>
  </r>
  <r>
    <n v="63301.393344991251"/>
  </r>
  <r>
    <n v="54314.165689752241"/>
  </r>
  <r>
    <n v="53103.951759075026"/>
  </r>
  <r>
    <n v="49105.626306241131"/>
  </r>
  <r>
    <n v="26176.980565296719"/>
  </r>
  <r>
    <n v="55902.793742794893"/>
  </r>
  <r>
    <n v="54972.478770456422"/>
  </r>
  <r>
    <n v="59591.886905961168"/>
  </r>
  <r>
    <n v="47332.705319002511"/>
  </r>
  <r>
    <n v="76505.732383789786"/>
  </r>
  <r>
    <n v="70147.364533066095"/>
  </r>
  <r>
    <n v="67161.011206998228"/>
  </r>
  <r>
    <n v="59747.499915685461"/>
  </r>
  <r>
    <n v="61852.146678788398"/>
  </r>
  <r>
    <n v="73271.700254911862"/>
  </r>
  <r>
    <n v="47065.229420200987"/>
  </r>
  <r>
    <n v="50054.704172163685"/>
  </r>
  <r>
    <n v="55710.439780793473"/>
  </r>
  <r>
    <n v="62044.093272308601"/>
  </r>
  <r>
    <n v="44040.164353608459"/>
  </r>
  <r>
    <n v="47908.042496925933"/>
  </r>
  <r>
    <n v="45250.463833941241"/>
  </r>
  <r>
    <n v="76112.384096829046"/>
  </r>
  <r>
    <n v="61019.673109099931"/>
  </r>
  <r>
    <n v="70928.125525462412"/>
  </r>
  <r>
    <n v="74443.236275836432"/>
  </r>
  <r>
    <n v="53370.57790390325"/>
  </r>
  <r>
    <n v="46774.408314595385"/>
  </r>
  <r>
    <n v="66766.125216816188"/>
  </r>
  <r>
    <n v="51139.960639651901"/>
  </r>
  <r>
    <n v="52819.165831260383"/>
  </r>
  <r>
    <n v="55539.018697205902"/>
  </r>
  <r>
    <n v="48210.786386831598"/>
  </r>
  <r>
    <n v="56920.506008457363"/>
  </r>
  <r>
    <n v="71896.411726037899"/>
  </r>
  <r>
    <n v="54334.090472999291"/>
  </r>
  <r>
    <n v="53067.345772889727"/>
  </r>
  <r>
    <n v="48336.184538767026"/>
  </r>
  <r>
    <n v="44823.006525314035"/>
  </r>
  <r>
    <n v="62259.177761062339"/>
  </r>
  <r>
    <n v="56604.772043914818"/>
  </r>
  <r>
    <n v="72129.586053179781"/>
  </r>
  <r>
    <n v="66284.729128100444"/>
  </r>
  <r>
    <n v="63041.715057292226"/>
  </r>
  <r>
    <n v="55079.253526075234"/>
  </r>
  <r>
    <n v="43777.672727144622"/>
  </r>
  <r>
    <n v="42679.219506974667"/>
  </r>
  <r>
    <n v="77974.102454560794"/>
  </r>
  <r>
    <n v="57861.432489193881"/>
  </r>
  <r>
    <n v="56796.91145502295"/>
  </r>
  <r>
    <n v="64848.202339006239"/>
  </r>
  <r>
    <n v="69497.079187320764"/>
  </r>
  <r>
    <n v="64674.080650127486"/>
  </r>
  <r>
    <n v="46204.695643516148"/>
  </r>
  <r>
    <n v="68306.789442178895"/>
  </r>
  <r>
    <n v="46762.479700950171"/>
  </r>
  <r>
    <n v="68415.679189019225"/>
  </r>
  <r>
    <n v="55024.22820243422"/>
  </r>
  <r>
    <n v="60861.95387799231"/>
  </r>
  <r>
    <n v="68259.347437258621"/>
  </r>
  <r>
    <n v="65706.573076945002"/>
  </r>
  <r>
    <n v="55138.794625615104"/>
  </r>
  <r>
    <n v="41631.627924390355"/>
  </r>
  <r>
    <n v="50295.167582143695"/>
  </r>
  <r>
    <n v="55600.849584850657"/>
  </r>
  <r>
    <n v="60571.028317304459"/>
  </r>
  <r>
    <n v="47619.873330196075"/>
  </r>
  <r>
    <n v="56672.693047420689"/>
  </r>
  <r>
    <n v="59480.328894722283"/>
  </r>
  <r>
    <n v="45415.305614487457"/>
  </r>
  <r>
    <n v="66191.517438621348"/>
  </r>
  <r>
    <n v="52738.265311808762"/>
  </r>
  <r>
    <n v="48521.788076037752"/>
  </r>
  <r>
    <n v="59491.93029728251"/>
  </r>
  <r>
    <n v="61382.591303941845"/>
  </r>
  <r>
    <n v="53965.373534505139"/>
  </r>
  <r>
    <n v="77533.719277578581"/>
  </r>
  <r>
    <n v="69262.701018213935"/>
  </r>
  <r>
    <n v="53176.35830394872"/>
  </r>
  <r>
    <n v="40163.639362469781"/>
  </r>
  <r>
    <n v="45268.998281194727"/>
  </r>
  <r>
    <n v="68997.790415097203"/>
  </r>
  <r>
    <n v="79173.446074328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52A548-9BFC-4E34-956C-3460A07CF062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51C3D0-C559-4D8C-9A3E-E6A65E143579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F9E6A-2828-4300-B6DC-34B4463EF3C5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993822-859F-4E61-9A5D-75785B800BD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19F320-EB75-4765-9A9B-5579C99B4DDD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CFF5EA-3723-4C64-B91F-8D89C9B20B71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241EB7-24D0-48BC-B952-1D93C9D4CDF2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238E28-3791-406E-9E67-6FA15E62A8CB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EE656-0D41-4713-A50A-37747B6109F3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8A053F-1542-456B-B119-86D87FFE444E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B3DD56-69A0-4593-B101-7AF65D12A0DE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:Q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EEAD41-D769-41DC-8324-564147165CA7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P3:R20" firstHeaderRow="1" firstDataRow="1" firstDataCol="0"/>
  <pivotFields count="1">
    <pivotField numFmtId="41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F2C7-1791-4843-A2AA-96F9D36B0C6A}">
  <sheetPr codeName="Sheet13"/>
  <dimension ref="B1:Q37"/>
  <sheetViews>
    <sheetView topLeftCell="A22" workbookViewId="0">
      <selection activeCell="R19" sqref="R19"/>
    </sheetView>
  </sheetViews>
  <sheetFormatPr baseColWidth="10" defaultColWidth="9.1328125" defaultRowHeight="15.75" x14ac:dyDescent="0.5"/>
  <cols>
    <col min="1" max="1" width="9.1328125" style="14"/>
    <col min="2" max="2" width="14.1328125" style="14" bestFit="1" customWidth="1"/>
    <col min="3" max="8" width="9.1328125" style="33"/>
    <col min="9" max="9" width="9.1328125" style="14"/>
    <col min="10" max="10" width="11" style="14" bestFit="1" customWidth="1"/>
    <col min="11" max="14" width="9.1328125" style="14"/>
    <col min="15" max="15" width="16.73046875" style="14" customWidth="1"/>
    <col min="16" max="16" width="9.1328125" style="14"/>
    <col min="17" max="17" width="11.9296875" style="14" bestFit="1" customWidth="1"/>
    <col min="18" max="16384" width="9.1328125" style="14"/>
  </cols>
  <sheetData>
    <row r="1" spans="2:17" ht="16.149999999999999" thickBot="1" x14ac:dyDescent="0.55000000000000004"/>
    <row r="2" spans="2:17" ht="16.149999999999999" thickBot="1" x14ac:dyDescent="0.55000000000000004">
      <c r="B2" s="20" t="s">
        <v>58</v>
      </c>
      <c r="C2" s="34">
        <v>2012</v>
      </c>
      <c r="D2" s="35">
        <v>2013</v>
      </c>
      <c r="E2" s="35">
        <v>2014</v>
      </c>
      <c r="F2" s="35">
        <v>2015</v>
      </c>
      <c r="G2" s="35">
        <v>2016</v>
      </c>
      <c r="H2" s="35">
        <v>2017</v>
      </c>
      <c r="I2" s="32">
        <v>2018</v>
      </c>
      <c r="J2" s="32">
        <v>2019</v>
      </c>
      <c r="K2" s="32">
        <v>2020</v>
      </c>
      <c r="L2" s="32">
        <v>2021</v>
      </c>
      <c r="M2" s="32">
        <v>2022</v>
      </c>
      <c r="N2" s="31">
        <v>2023</v>
      </c>
      <c r="Q2" s="14" t="s">
        <v>65</v>
      </c>
    </row>
    <row r="3" spans="2:17" ht="16.149999999999999" thickBot="1" x14ac:dyDescent="0.55000000000000004">
      <c r="B3" s="29" t="s">
        <v>57</v>
      </c>
      <c r="C3" s="36">
        <v>8490.36</v>
      </c>
      <c r="D3" s="37">
        <v>9806</v>
      </c>
      <c r="E3" s="37">
        <v>13645</v>
      </c>
      <c r="F3" s="37">
        <v>11476</v>
      </c>
      <c r="G3" s="37">
        <v>4294</v>
      </c>
      <c r="H3" s="37">
        <v>6645.2308385055294</v>
      </c>
      <c r="I3" s="28">
        <v>10737.021608720894</v>
      </c>
      <c r="J3" s="28">
        <v>7735.1925883611302</v>
      </c>
      <c r="K3" s="28">
        <v>10577.643428641102</v>
      </c>
      <c r="L3" s="28">
        <v>7586.7157875082603</v>
      </c>
      <c r="M3" s="28">
        <v>12331.950499642258</v>
      </c>
      <c r="N3" s="27">
        <v>12675.405022212481</v>
      </c>
      <c r="P3" s="47"/>
      <c r="Q3" s="48" t="s">
        <v>59</v>
      </c>
    </row>
    <row r="4" spans="2:17" x14ac:dyDescent="0.5">
      <c r="B4" s="26" t="s">
        <v>56</v>
      </c>
      <c r="C4" s="38">
        <v>10794.6</v>
      </c>
      <c r="D4" s="39">
        <v>20849</v>
      </c>
      <c r="E4" s="39">
        <v>32778.11</v>
      </c>
      <c r="F4" s="39">
        <v>18738</v>
      </c>
      <c r="G4" s="39">
        <v>18946</v>
      </c>
      <c r="H4" s="39">
        <v>15193.436496208007</v>
      </c>
      <c r="I4" s="25">
        <v>23246.688349850396</v>
      </c>
      <c r="J4" s="25">
        <v>16631.690234908532</v>
      </c>
      <c r="K4" s="25">
        <v>22895.473689175175</v>
      </c>
      <c r="L4" s="25">
        <v>16304.498462461543</v>
      </c>
      <c r="M4" s="25">
        <v>26761.362748476429</v>
      </c>
      <c r="N4" s="24">
        <v>27518.218320183176</v>
      </c>
      <c r="P4" s="47" t="s">
        <v>55</v>
      </c>
      <c r="Q4" s="49" t="s">
        <v>9</v>
      </c>
    </row>
    <row r="5" spans="2:17" x14ac:dyDescent="0.5">
      <c r="B5" s="26" t="s">
        <v>55</v>
      </c>
      <c r="C5" s="38">
        <v>16277.07</v>
      </c>
      <c r="D5" s="39">
        <v>9535</v>
      </c>
      <c r="E5" s="39">
        <v>7572.5</v>
      </c>
      <c r="F5" s="39">
        <v>8918</v>
      </c>
      <c r="G5" s="39">
        <v>15619.15</v>
      </c>
      <c r="H5" s="39">
        <v>20119.7334318131</v>
      </c>
      <c r="I5" s="25">
        <v>15521.030595869706</v>
      </c>
      <c r="J5" s="25">
        <v>11022.336432910637</v>
      </c>
      <c r="K5" s="25">
        <v>15282.178321617901</v>
      </c>
      <c r="L5" s="25">
        <v>10799.821521900954</v>
      </c>
      <c r="M5" s="25">
        <v>17911.272426186475</v>
      </c>
      <c r="N5" s="24">
        <v>18425.990901305824</v>
      </c>
      <c r="O5" s="46"/>
      <c r="P5" s="47" t="s">
        <v>50</v>
      </c>
      <c r="Q5" s="49" t="s">
        <v>10</v>
      </c>
    </row>
    <row r="6" spans="2:17" x14ac:dyDescent="0.5">
      <c r="B6" s="26" t="s">
        <v>54</v>
      </c>
      <c r="C6" s="38">
        <v>969</v>
      </c>
      <c r="D6" s="39">
        <v>861</v>
      </c>
      <c r="E6" s="39">
        <v>2060</v>
      </c>
      <c r="F6" s="39">
        <v>527</v>
      </c>
      <c r="G6" s="39">
        <v>151</v>
      </c>
      <c r="H6" s="39">
        <v>1051.9794698971355</v>
      </c>
      <c r="I6" s="25">
        <v>1258.1476612516835</v>
      </c>
      <c r="J6" s="25">
        <v>682.89306145368914</v>
      </c>
      <c r="K6" s="25">
        <v>1227.6052717363254</v>
      </c>
      <c r="L6" s="25">
        <v>654.43975446165155</v>
      </c>
      <c r="M6" s="25">
        <v>1563.7913786754257</v>
      </c>
      <c r="N6" s="24">
        <v>1629.609182617593</v>
      </c>
      <c r="P6" s="47" t="s">
        <v>47</v>
      </c>
      <c r="Q6" s="49" t="s">
        <v>11</v>
      </c>
    </row>
    <row r="7" spans="2:17" x14ac:dyDescent="0.5">
      <c r="B7" s="26" t="s">
        <v>53</v>
      </c>
      <c r="C7" s="38">
        <v>38154.25</v>
      </c>
      <c r="D7" s="39">
        <v>13755.29</v>
      </c>
      <c r="E7" s="39">
        <v>17242.07</v>
      </c>
      <c r="F7" s="39">
        <v>7324.5</v>
      </c>
      <c r="G7" s="39">
        <v>8317.1200000000008</v>
      </c>
      <c r="H7" s="39">
        <v>14915.563466281743</v>
      </c>
      <c r="I7" s="25">
        <v>22233.141937347467</v>
      </c>
      <c r="J7" s="25">
        <v>12185.811521528201</v>
      </c>
      <c r="K7" s="25">
        <v>21699.692088780906</v>
      </c>
      <c r="L7" s="25">
        <v>11688.849347089035</v>
      </c>
      <c r="M7" s="25">
        <v>27571.479813400969</v>
      </c>
      <c r="N7" s="24">
        <v>28721.04597711836</v>
      </c>
      <c r="O7" s="30"/>
      <c r="P7" s="47" t="s">
        <v>42</v>
      </c>
      <c r="Q7" s="49" t="s">
        <v>12</v>
      </c>
    </row>
    <row r="8" spans="2:17" x14ac:dyDescent="0.5">
      <c r="B8" s="26" t="s">
        <v>52</v>
      </c>
      <c r="C8" s="38">
        <v>14883.43</v>
      </c>
      <c r="D8" s="39">
        <v>9122.59</v>
      </c>
      <c r="E8" s="39">
        <v>10419.280000000001</v>
      </c>
      <c r="F8" s="39">
        <v>3483.8</v>
      </c>
      <c r="G8" s="39">
        <v>10103.24</v>
      </c>
      <c r="H8" s="39">
        <v>10138.307821993425</v>
      </c>
      <c r="I8" s="25">
        <v>11518.166781860484</v>
      </c>
      <c r="J8" s="25">
        <v>8250.0752999766628</v>
      </c>
      <c r="K8" s="25">
        <v>11344.651745133146</v>
      </c>
      <c r="L8" s="25">
        <v>8088.4285956395579</v>
      </c>
      <c r="M8" s="25">
        <v>13254.565986238167</v>
      </c>
      <c r="N8" s="24">
        <v>13628.484950980435</v>
      </c>
      <c r="P8" s="50" t="s">
        <v>37</v>
      </c>
      <c r="Q8" s="51" t="s">
        <v>13</v>
      </c>
    </row>
    <row r="9" spans="2:17" x14ac:dyDescent="0.5">
      <c r="B9" s="26" t="s">
        <v>51</v>
      </c>
      <c r="C9" s="38">
        <v>10183.59</v>
      </c>
      <c r="D9" s="39">
        <v>6119.17</v>
      </c>
      <c r="E9" s="39">
        <v>8331.7199999999993</v>
      </c>
      <c r="F9" s="39">
        <v>5395.9</v>
      </c>
      <c r="G9" s="39">
        <v>8228.94</v>
      </c>
      <c r="H9" s="39">
        <v>14097.691144613887</v>
      </c>
      <c r="I9" s="25">
        <v>10295.679406697924</v>
      </c>
      <c r="J9" s="25">
        <v>7487.2435729337458</v>
      </c>
      <c r="K9" s="25">
        <v>10146.569184556571</v>
      </c>
      <c r="L9" s="25">
        <v>7348.3324073844542</v>
      </c>
      <c r="M9" s="25">
        <v>11787.854816819212</v>
      </c>
      <c r="N9" s="24">
        <v>12109.182241503442</v>
      </c>
      <c r="P9" s="50" t="s">
        <v>35</v>
      </c>
      <c r="Q9" s="51" t="s">
        <v>14</v>
      </c>
    </row>
    <row r="10" spans="2:17" x14ac:dyDescent="0.5">
      <c r="B10" s="26" t="s">
        <v>50</v>
      </c>
      <c r="C10" s="38">
        <v>9057.18</v>
      </c>
      <c r="D10" s="39">
        <v>5632.96</v>
      </c>
      <c r="E10" s="39">
        <v>3344.71</v>
      </c>
      <c r="F10" s="39">
        <v>2551</v>
      </c>
      <c r="G10" s="39">
        <v>31725.16</v>
      </c>
      <c r="I10" s="25">
        <v>16538.049973121117</v>
      </c>
      <c r="J10" s="25">
        <v>5900.7150054887479</v>
      </c>
      <c r="K10" s="25">
        <v>15874.893521185542</v>
      </c>
      <c r="L10" s="25">
        <v>5450.7204271831597</v>
      </c>
      <c r="M10" s="25">
        <v>21919.100959074985</v>
      </c>
      <c r="N10" s="24">
        <v>23226.913207089274</v>
      </c>
      <c r="P10" s="50" t="s">
        <v>60</v>
      </c>
      <c r="Q10" s="51" t="s">
        <v>15</v>
      </c>
    </row>
    <row r="11" spans="2:17" x14ac:dyDescent="0.5">
      <c r="B11" s="26" t="s">
        <v>49</v>
      </c>
      <c r="C11" s="38">
        <v>9530.52</v>
      </c>
      <c r="D11" s="39">
        <v>6457.37</v>
      </c>
      <c r="E11" s="39">
        <v>7118.98</v>
      </c>
      <c r="F11" s="39">
        <v>3784</v>
      </c>
      <c r="G11" s="39">
        <v>4180.1000000000004</v>
      </c>
      <c r="H11" s="39">
        <v>37393.881632733035</v>
      </c>
      <c r="I11" s="25">
        <v>17860.860048733011</v>
      </c>
      <c r="J11" s="25">
        <v>6319.330898603399</v>
      </c>
      <c r="K11" s="25">
        <v>17248.077675450113</v>
      </c>
      <c r="L11" s="25">
        <v>5748.462500190748</v>
      </c>
      <c r="M11" s="25">
        <v>23993.094150709498</v>
      </c>
      <c r="N11" s="24">
        <v>25313.619189644938</v>
      </c>
      <c r="P11" s="50" t="s">
        <v>61</v>
      </c>
      <c r="Q11" s="51" t="s">
        <v>16</v>
      </c>
    </row>
    <row r="12" spans="2:17" x14ac:dyDescent="0.5">
      <c r="B12" s="26" t="s">
        <v>48</v>
      </c>
      <c r="C12" s="38">
        <v>8114.76</v>
      </c>
      <c r="D12" s="39">
        <v>6895.17</v>
      </c>
      <c r="E12" s="39">
        <v>10023.43</v>
      </c>
      <c r="F12" s="39">
        <v>1463</v>
      </c>
      <c r="G12" s="39">
        <v>43259.45</v>
      </c>
      <c r="H12" s="39">
        <v>55652.59280309864</v>
      </c>
      <c r="I12" s="25">
        <v>32222.579885035368</v>
      </c>
      <c r="J12" s="25">
        <v>11964.800018617076</v>
      </c>
      <c r="K12" s="25">
        <v>31147.019596401784</v>
      </c>
      <c r="L12" s="25">
        <v>10962.807457899211</v>
      </c>
      <c r="M12" s="25">
        <v>42985.923884888965</v>
      </c>
      <c r="N12" s="24">
        <v>45303.71949055593</v>
      </c>
      <c r="P12" s="50" t="s">
        <v>62</v>
      </c>
      <c r="Q12" s="51" t="s">
        <v>17</v>
      </c>
    </row>
    <row r="13" spans="2:17" x14ac:dyDescent="0.5">
      <c r="B13" s="26" t="s">
        <v>47</v>
      </c>
      <c r="C13" s="38">
        <v>8148.5</v>
      </c>
      <c r="D13" s="39">
        <v>3240</v>
      </c>
      <c r="E13" s="39">
        <v>2915.4</v>
      </c>
      <c r="F13" s="39">
        <v>467</v>
      </c>
      <c r="G13" s="39">
        <v>2081.39</v>
      </c>
      <c r="H13" s="39">
        <v>4875.1130793422763</v>
      </c>
      <c r="I13" s="25">
        <v>4944.7179388258592</v>
      </c>
      <c r="J13" s="25">
        <v>2576.5150857193821</v>
      </c>
      <c r="K13" s="25">
        <v>4818.9813101811515</v>
      </c>
      <c r="L13" s="25">
        <v>2459.3787728198063</v>
      </c>
      <c r="M13" s="25">
        <v>6202.9891875758094</v>
      </c>
      <c r="N13" s="24">
        <v>6473.9473183509099</v>
      </c>
      <c r="P13" s="50" t="s">
        <v>63</v>
      </c>
      <c r="Q13" s="51" t="s">
        <v>18</v>
      </c>
    </row>
    <row r="14" spans="2:17" ht="16.149999999999999" thickBot="1" x14ac:dyDescent="0.55000000000000004">
      <c r="B14" s="26" t="s">
        <v>46</v>
      </c>
      <c r="C14" s="38">
        <v>80</v>
      </c>
      <c r="D14" s="39">
        <v>0</v>
      </c>
      <c r="E14" s="39">
        <v>0</v>
      </c>
      <c r="F14" s="39">
        <v>0</v>
      </c>
      <c r="G14" s="39">
        <v>148.52000000000001</v>
      </c>
      <c r="H14" s="39">
        <v>1101.6484118303895</v>
      </c>
      <c r="I14" s="25">
        <v>439.31781309284486</v>
      </c>
      <c r="J14" s="25">
        <v>49.909586179184799</v>
      </c>
      <c r="K14" s="25">
        <v>418.64269332664315</v>
      </c>
      <c r="L14" s="25">
        <v>30.648633151620487</v>
      </c>
      <c r="M14" s="25">
        <v>646.2178154762662</v>
      </c>
      <c r="N14" s="24">
        <v>690.77199086481664</v>
      </c>
      <c r="P14" s="50" t="s">
        <v>64</v>
      </c>
      <c r="Q14" s="52" t="s">
        <v>19</v>
      </c>
    </row>
    <row r="15" spans="2:17" ht="16.149999999999999" thickBot="1" x14ac:dyDescent="0.55000000000000004">
      <c r="B15" s="23" t="s">
        <v>45</v>
      </c>
      <c r="C15" s="40">
        <v>0</v>
      </c>
      <c r="D15" s="41">
        <v>0</v>
      </c>
      <c r="E15" s="41">
        <v>0</v>
      </c>
      <c r="F15" s="41">
        <v>0</v>
      </c>
      <c r="G15" s="41">
        <v>819</v>
      </c>
      <c r="H15" s="41">
        <v>940.38651321804514</v>
      </c>
      <c r="I15" s="22">
        <v>521.176361545021</v>
      </c>
      <c r="J15" s="22">
        <v>113.29790184211691</v>
      </c>
      <c r="K15" s="22">
        <v>499.52058896094263</v>
      </c>
      <c r="L15" s="22">
        <v>93.123372106167665</v>
      </c>
      <c r="M15" s="22">
        <v>737.88995014464786</v>
      </c>
      <c r="N15" s="21">
        <v>784.55739878805889</v>
      </c>
    </row>
    <row r="16" spans="2:17" x14ac:dyDescent="0.5">
      <c r="B16" s="29" t="s">
        <v>44</v>
      </c>
      <c r="C16" s="36">
        <v>10069.799999999999</v>
      </c>
      <c r="D16" s="37">
        <v>11907.14</v>
      </c>
      <c r="E16" s="37">
        <v>18797.87</v>
      </c>
      <c r="F16" s="37">
        <v>16577.63</v>
      </c>
      <c r="G16" s="37">
        <v>16637.48</v>
      </c>
      <c r="H16" s="37">
        <v>5292.9170379539701</v>
      </c>
      <c r="I16" s="28">
        <v>15749.070045156353</v>
      </c>
      <c r="J16" s="28">
        <v>11212.544694750299</v>
      </c>
      <c r="K16" s="28">
        <v>15508.209173557841</v>
      </c>
      <c r="L16" s="28">
        <v>10988.158573339719</v>
      </c>
      <c r="M16" s="28">
        <v>18159.412305386966</v>
      </c>
      <c r="N16" s="27">
        <v>18678.459239034342</v>
      </c>
    </row>
    <row r="17" spans="2:14" x14ac:dyDescent="0.5">
      <c r="B17" s="26" t="s">
        <v>43</v>
      </c>
      <c r="C17" s="38">
        <v>3647.8</v>
      </c>
      <c r="D17" s="39">
        <v>3095.49</v>
      </c>
      <c r="E17" s="39">
        <v>2941</v>
      </c>
      <c r="F17" s="39">
        <v>5206.67</v>
      </c>
      <c r="G17" s="39">
        <v>20567.060000000001</v>
      </c>
      <c r="H17" s="39">
        <v>6691.5517722394497</v>
      </c>
      <c r="I17" s="25">
        <v>10418.529116408639</v>
      </c>
      <c r="J17" s="25">
        <v>4346.1218965361268</v>
      </c>
      <c r="K17" s="25">
        <v>10096.122608628697</v>
      </c>
      <c r="L17" s="25">
        <v>4045.767815285194</v>
      </c>
      <c r="M17" s="25">
        <v>13644.914645606237</v>
      </c>
      <c r="N17" s="24">
        <v>14339.68963392431</v>
      </c>
    </row>
    <row r="18" spans="2:14" x14ac:dyDescent="0.5">
      <c r="B18" s="26" t="s">
        <v>42</v>
      </c>
      <c r="C18" s="38">
        <v>5986.82</v>
      </c>
      <c r="D18" s="39">
        <v>8030</v>
      </c>
      <c r="E18" s="39">
        <v>2898</v>
      </c>
      <c r="F18" s="39">
        <v>4229.03</v>
      </c>
      <c r="G18" s="39">
        <v>3520.7</v>
      </c>
      <c r="H18" s="39">
        <v>3915.7517722394496</v>
      </c>
      <c r="I18" s="25">
        <v>5717.205187482572</v>
      </c>
      <c r="J18" s="25">
        <v>4010.4654162658958</v>
      </c>
      <c r="K18" s="25">
        <v>5626.5880747951496</v>
      </c>
      <c r="L18" s="25">
        <v>3926.0464638872445</v>
      </c>
      <c r="M18" s="25">
        <v>6624.0285115077841</v>
      </c>
      <c r="N18" s="24">
        <v>6819.3052875330168</v>
      </c>
    </row>
    <row r="19" spans="2:14" x14ac:dyDescent="0.5">
      <c r="B19" s="26" t="s">
        <v>41</v>
      </c>
      <c r="C19" s="38">
        <v>1232</v>
      </c>
      <c r="D19" s="39">
        <v>724</v>
      </c>
      <c r="E19" s="39">
        <v>2626.7</v>
      </c>
      <c r="F19" s="39">
        <v>1663</v>
      </c>
      <c r="G19" s="39">
        <v>1479</v>
      </c>
      <c r="H19" s="39">
        <v>2406.7517722394496</v>
      </c>
      <c r="I19" s="25">
        <v>2047.6921158028026</v>
      </c>
      <c r="J19" s="25">
        <v>1405.099217476469</v>
      </c>
      <c r="K19" s="25">
        <v>2013.5744875259008</v>
      </c>
      <c r="L19" s="25">
        <v>1373.3152160736065</v>
      </c>
      <c r="M19" s="25">
        <v>2389.1139528529125</v>
      </c>
      <c r="N19" s="24">
        <v>2462.6362739460833</v>
      </c>
    </row>
    <row r="20" spans="2:14" x14ac:dyDescent="0.5">
      <c r="B20" s="26" t="s">
        <v>40</v>
      </c>
      <c r="C20" s="38">
        <v>6640.06</v>
      </c>
      <c r="D20" s="39">
        <v>4661.5</v>
      </c>
      <c r="E20" s="39">
        <v>3055</v>
      </c>
      <c r="F20" s="39">
        <v>7609.37</v>
      </c>
      <c r="G20" s="39">
        <v>8293.76</v>
      </c>
      <c r="H20" s="39">
        <v>2234.0287953265424</v>
      </c>
      <c r="I20" s="25">
        <v>6657.7797846528238</v>
      </c>
      <c r="J20" s="25">
        <v>4435.0958561506886</v>
      </c>
      <c r="K20" s="25">
        <v>6539.7692927112075</v>
      </c>
      <c r="L20" s="25">
        <v>4325.1572164837535</v>
      </c>
      <c r="M20" s="25">
        <v>7838.7340591670254</v>
      </c>
      <c r="N20" s="24">
        <v>8093.0426298119737</v>
      </c>
    </row>
    <row r="21" spans="2:14" x14ac:dyDescent="0.5">
      <c r="B21" s="26" t="s">
        <v>39</v>
      </c>
      <c r="C21" s="38">
        <v>2504.46</v>
      </c>
      <c r="D21" s="39">
        <v>1973</v>
      </c>
      <c r="E21" s="39">
        <v>1338</v>
      </c>
      <c r="F21" s="39">
        <v>4554.47</v>
      </c>
      <c r="G21" s="39">
        <v>4284.91</v>
      </c>
      <c r="H21" s="39">
        <v>2732.9388820871004</v>
      </c>
      <c r="I21" s="25">
        <v>3535.8799168637584</v>
      </c>
      <c r="J21" s="25">
        <v>2394.4107271497655</v>
      </c>
      <c r="K21" s="25">
        <v>3475.2751053172406</v>
      </c>
      <c r="L21" s="25">
        <v>2337.951251139857</v>
      </c>
      <c r="M21" s="25">
        <v>4142.3642224066671</v>
      </c>
      <c r="N21" s="24">
        <v>4272.9655167918017</v>
      </c>
    </row>
    <row r="22" spans="2:14" x14ac:dyDescent="0.5">
      <c r="B22" s="26" t="s">
        <v>38</v>
      </c>
      <c r="C22" s="38">
        <v>3842</v>
      </c>
      <c r="D22" s="39">
        <v>3363</v>
      </c>
      <c r="E22" s="39">
        <v>3515</v>
      </c>
      <c r="F22" s="39">
        <v>4414.5</v>
      </c>
      <c r="G22" s="39">
        <v>6024</v>
      </c>
      <c r="H22" s="39">
        <v>1804.8585489671734</v>
      </c>
      <c r="I22" s="25">
        <v>4519.1037980081073</v>
      </c>
      <c r="J22" s="25">
        <v>3281.0791184999289</v>
      </c>
      <c r="K22" s="25">
        <v>4453.3724991980789</v>
      </c>
      <c r="L22" s="25">
        <v>3219.8438041154209</v>
      </c>
      <c r="M22" s="25">
        <v>5176.8898729740285</v>
      </c>
      <c r="N22" s="24">
        <v>5318.5385719327996</v>
      </c>
    </row>
    <row r="23" spans="2:14" x14ac:dyDescent="0.5">
      <c r="B23" s="26" t="s">
        <v>37</v>
      </c>
      <c r="C23" s="38">
        <v>2542.3000000000002</v>
      </c>
      <c r="D23" s="39">
        <v>2259.29</v>
      </c>
      <c r="E23" s="39">
        <v>2562</v>
      </c>
      <c r="F23" s="39">
        <v>11280.43</v>
      </c>
      <c r="G23" s="39">
        <v>11693.82</v>
      </c>
      <c r="H23" s="39">
        <v>4349.7656772795226</v>
      </c>
      <c r="I23" s="25">
        <v>8022.9988852253955</v>
      </c>
      <c r="J23" s="25">
        <v>4011.7119902195727</v>
      </c>
      <c r="K23" s="25">
        <v>7810.0248614659304</v>
      </c>
      <c r="L23" s="25">
        <v>3813.3052717042951</v>
      </c>
      <c r="M23" s="25">
        <v>10154.271957484614</v>
      </c>
      <c r="N23" s="24">
        <v>10613.223688603302</v>
      </c>
    </row>
    <row r="24" spans="2:14" x14ac:dyDescent="0.5">
      <c r="B24" s="26" t="s">
        <v>36</v>
      </c>
      <c r="C24" s="38">
        <v>3804</v>
      </c>
      <c r="D24" s="39">
        <v>3388</v>
      </c>
      <c r="E24" s="39">
        <v>2697.2269999999999</v>
      </c>
      <c r="F24" s="39">
        <v>5931.62</v>
      </c>
      <c r="G24" s="39">
        <v>3359.26</v>
      </c>
      <c r="H24" s="39">
        <v>2182.0706266789502</v>
      </c>
      <c r="I24" s="25">
        <v>4208.3237309242468</v>
      </c>
      <c r="J24" s="25">
        <v>3048.8820663136808</v>
      </c>
      <c r="K24" s="25">
        <v>4146.7646943632062</v>
      </c>
      <c r="L24" s="25">
        <v>2991.5336337516314</v>
      </c>
      <c r="M24" s="25">
        <v>4824.3571544413926</v>
      </c>
      <c r="N24" s="24">
        <v>4957.0147710697784</v>
      </c>
    </row>
    <row r="25" spans="2:14" x14ac:dyDescent="0.5">
      <c r="B25" s="26" t="s">
        <v>35</v>
      </c>
      <c r="C25" s="38">
        <v>2651</v>
      </c>
      <c r="D25" s="39">
        <v>2887.37</v>
      </c>
      <c r="E25" s="39">
        <v>2051</v>
      </c>
      <c r="F25" s="39">
        <v>4793.0600000000004</v>
      </c>
      <c r="G25" s="39">
        <v>8200.25</v>
      </c>
      <c r="H25" s="39">
        <v>3665.8229289920409</v>
      </c>
      <c r="I25" s="25">
        <v>5164.5550309073624</v>
      </c>
      <c r="J25" s="25">
        <v>3154.8457052788617</v>
      </c>
      <c r="K25" s="25">
        <v>5057.8521465539852</v>
      </c>
      <c r="L25" s="25">
        <v>3055.4412391051883</v>
      </c>
      <c r="M25" s="25">
        <v>6232.3518454690493</v>
      </c>
      <c r="N25" s="24">
        <v>6462.2929088198016</v>
      </c>
    </row>
    <row r="26" spans="2:14" x14ac:dyDescent="0.5">
      <c r="B26" s="26" t="s">
        <v>34</v>
      </c>
      <c r="C26" s="38">
        <v>429</v>
      </c>
      <c r="D26" s="39">
        <v>352</v>
      </c>
      <c r="E26" s="39">
        <v>1648</v>
      </c>
      <c r="F26" s="39">
        <v>2109</v>
      </c>
      <c r="G26" s="39">
        <v>868</v>
      </c>
      <c r="H26" s="39">
        <v>375.06646745590587</v>
      </c>
      <c r="I26" s="25">
        <v>1337.3898865817268</v>
      </c>
      <c r="J26" s="25">
        <v>668.38232798221475</v>
      </c>
      <c r="K26" s="25">
        <v>1301.8698065151957</v>
      </c>
      <c r="L26" s="25">
        <v>635.29180171521887</v>
      </c>
      <c r="M26" s="25">
        <v>1692.8463353728207</v>
      </c>
      <c r="N26" s="24">
        <v>1769.3908920668359</v>
      </c>
    </row>
    <row r="27" spans="2:14" ht="16.149999999999999" thickBot="1" x14ac:dyDescent="0.55000000000000004">
      <c r="B27" s="23" t="s">
        <v>33</v>
      </c>
      <c r="C27" s="40">
        <v>0</v>
      </c>
      <c r="D27" s="41">
        <v>0</v>
      </c>
      <c r="E27" s="41">
        <v>0</v>
      </c>
      <c r="F27" s="41">
        <v>0</v>
      </c>
      <c r="G27" s="41">
        <v>506</v>
      </c>
      <c r="H27" s="41">
        <v>932</v>
      </c>
      <c r="I27" s="22">
        <v>437.15329068628643</v>
      </c>
      <c r="J27" s="22">
        <v>83.776631922006089</v>
      </c>
      <c r="K27" s="22">
        <v>418.39121983730149</v>
      </c>
      <c r="L27" s="22">
        <v>66.297876325490307</v>
      </c>
      <c r="M27" s="22">
        <v>624.90903514000047</v>
      </c>
      <c r="N27" s="21">
        <v>665.34065559545263</v>
      </c>
    </row>
    <row r="28" spans="2:14" x14ac:dyDescent="0.5">
      <c r="B28" s="29" t="s">
        <v>32</v>
      </c>
      <c r="C28" s="36">
        <v>154</v>
      </c>
      <c r="D28" s="37">
        <v>260</v>
      </c>
      <c r="E28" s="37">
        <v>266</v>
      </c>
      <c r="F28" s="37">
        <v>300</v>
      </c>
      <c r="G28" s="37">
        <v>1878.82</v>
      </c>
      <c r="H28" s="37">
        <v>1466.3388104000001</v>
      </c>
      <c r="I28" s="28">
        <v>1095.9833131769087</v>
      </c>
      <c r="J28" s="28">
        <v>424.7485206641486</v>
      </c>
      <c r="K28" s="28">
        <v>1060.3449810429552</v>
      </c>
      <c r="L28" s="28">
        <v>391.54783070563445</v>
      </c>
      <c r="M28" s="28">
        <v>1452.6231337360095</v>
      </c>
      <c r="N28" s="27">
        <v>1529.4225195875611</v>
      </c>
    </row>
    <row r="29" spans="2:14" x14ac:dyDescent="0.5">
      <c r="B29" s="26" t="s">
        <v>31</v>
      </c>
      <c r="C29" s="38">
        <v>692</v>
      </c>
      <c r="D29" s="39">
        <v>162</v>
      </c>
      <c r="E29" s="39">
        <v>90</v>
      </c>
      <c r="F29" s="39">
        <v>3904.89</v>
      </c>
      <c r="G29" s="39">
        <v>2245.3000000000002</v>
      </c>
      <c r="H29" s="39">
        <v>642.16038161999995</v>
      </c>
      <c r="I29" s="25">
        <v>2039.055980227618</v>
      </c>
      <c r="J29" s="25">
        <v>697.62919165314304</v>
      </c>
      <c r="K29" s="25">
        <v>1967.8346818714383</v>
      </c>
      <c r="L29" s="25">
        <v>631.27939065015062</v>
      </c>
      <c r="M29" s="25">
        <v>2751.7815637443236</v>
      </c>
      <c r="N29" s="24">
        <v>2905.2610238028251</v>
      </c>
    </row>
    <row r="30" spans="2:14" x14ac:dyDescent="0.5">
      <c r="B30" s="26" t="s">
        <v>30</v>
      </c>
      <c r="C30" s="38">
        <v>723.72</v>
      </c>
      <c r="D30" s="39">
        <v>379</v>
      </c>
      <c r="E30" s="39">
        <v>962.59</v>
      </c>
      <c r="F30" s="39">
        <v>11509.76</v>
      </c>
      <c r="G30" s="39">
        <v>27983.82</v>
      </c>
      <c r="H30" s="39">
        <v>8188.8117610499994</v>
      </c>
      <c r="I30" s="25">
        <v>13637.997950470781</v>
      </c>
      <c r="J30" s="25">
        <v>4070.7472446028805</v>
      </c>
      <c r="K30" s="25">
        <v>13130.037305301992</v>
      </c>
      <c r="L30" s="25">
        <v>3597.5308261692999</v>
      </c>
      <c r="M30" s="25">
        <v>18721.260339495104</v>
      </c>
      <c r="N30" s="24">
        <v>19815.898142383594</v>
      </c>
    </row>
    <row r="31" spans="2:14" x14ac:dyDescent="0.5">
      <c r="B31" s="26" t="s">
        <v>29</v>
      </c>
      <c r="C31" s="38">
        <v>94</v>
      </c>
      <c r="D31" s="39">
        <v>370.19</v>
      </c>
      <c r="E31" s="39">
        <v>0</v>
      </c>
      <c r="F31" s="39">
        <v>2475.52</v>
      </c>
      <c r="G31" s="39">
        <v>0</v>
      </c>
      <c r="H31" s="39">
        <v>658.07436587999996</v>
      </c>
      <c r="I31" s="25">
        <v>1076.5896210693566</v>
      </c>
      <c r="J31" s="25">
        <v>223.13364164629428</v>
      </c>
      <c r="K31" s="25">
        <v>1031.2764936873173</v>
      </c>
      <c r="L31" s="25">
        <v>180.91990707512866</v>
      </c>
      <c r="M31" s="25">
        <v>1530.0470263643101</v>
      </c>
      <c r="N31" s="24">
        <v>1627.695264808058</v>
      </c>
    </row>
    <row r="32" spans="2:14" x14ac:dyDescent="0.5">
      <c r="B32" s="26" t="s">
        <v>28</v>
      </c>
      <c r="C32" s="38">
        <v>398</v>
      </c>
      <c r="D32" s="39">
        <v>1919</v>
      </c>
      <c r="E32" s="39">
        <v>39</v>
      </c>
      <c r="F32" s="39">
        <v>10677.95</v>
      </c>
      <c r="G32" s="39">
        <v>3894.33</v>
      </c>
      <c r="H32" s="39">
        <v>1105.1921266300001</v>
      </c>
      <c r="I32" s="25">
        <v>5006.1703314841143</v>
      </c>
      <c r="J32" s="25">
        <v>1426.3714761620979</v>
      </c>
      <c r="K32" s="25">
        <v>4816.105600034296</v>
      </c>
      <c r="L32" s="25">
        <v>1249.3070670535205</v>
      </c>
      <c r="M32" s="25">
        <v>6908.185595949788</v>
      </c>
      <c r="N32" s="24">
        <v>7317.7685863243405</v>
      </c>
    </row>
    <row r="33" spans="2:14" x14ac:dyDescent="0.5">
      <c r="B33" s="26" t="s">
        <v>27</v>
      </c>
      <c r="C33" s="38">
        <v>376</v>
      </c>
      <c r="D33" s="39">
        <v>335</v>
      </c>
      <c r="E33" s="39">
        <v>220</v>
      </c>
      <c r="F33" s="39">
        <v>3115.15</v>
      </c>
      <c r="G33" s="39">
        <v>527.29999999999995</v>
      </c>
      <c r="H33" s="39">
        <v>68.160454000000001</v>
      </c>
      <c r="I33" s="25">
        <v>1352.3112430995843</v>
      </c>
      <c r="J33" s="25">
        <v>316.78576996371373</v>
      </c>
      <c r="K33" s="25">
        <v>1297.3313744210941</v>
      </c>
      <c r="L33" s="25">
        <v>265.56649384570142</v>
      </c>
      <c r="M33" s="25">
        <v>1902.5056356474563</v>
      </c>
      <c r="N33" s="24">
        <v>2020.9853706933131</v>
      </c>
    </row>
    <row r="34" spans="2:14" x14ac:dyDescent="0.5">
      <c r="B34" s="26" t="s">
        <v>26</v>
      </c>
      <c r="C34" s="38">
        <v>0</v>
      </c>
      <c r="D34" s="39">
        <v>74</v>
      </c>
      <c r="E34" s="39">
        <v>0</v>
      </c>
      <c r="F34" s="39">
        <v>1372</v>
      </c>
      <c r="G34" s="39">
        <v>2356.04</v>
      </c>
      <c r="H34" s="39">
        <v>9247.1213493200012</v>
      </c>
      <c r="I34" s="25">
        <v>3971.6342193540463</v>
      </c>
      <c r="J34" s="25">
        <v>756.54056999198838</v>
      </c>
      <c r="K34" s="25">
        <v>3800.9330331285864</v>
      </c>
      <c r="L34" s="25">
        <v>597.51525034122187</v>
      </c>
      <c r="M34" s="25">
        <v>5679.8746666300158</v>
      </c>
      <c r="N34" s="24">
        <v>6047.7298798586053</v>
      </c>
    </row>
    <row r="35" spans="2:14" ht="16.149999999999999" thickBot="1" x14ac:dyDescent="0.55000000000000004">
      <c r="B35" s="23" t="s">
        <v>25</v>
      </c>
      <c r="C35" s="40">
        <v>0</v>
      </c>
      <c r="D35" s="41">
        <v>0</v>
      </c>
      <c r="E35" s="41">
        <v>0</v>
      </c>
      <c r="F35" s="41">
        <v>618</v>
      </c>
      <c r="G35" s="41">
        <v>0</v>
      </c>
      <c r="H35" s="41">
        <v>4005.9232389900003</v>
      </c>
      <c r="I35" s="22">
        <v>1572.7106243782432</v>
      </c>
      <c r="J35" s="22">
        <v>137.53426096584508</v>
      </c>
      <c r="K35" s="22">
        <v>1496.5118151380054</v>
      </c>
      <c r="L35" s="22">
        <v>66.547408065878699</v>
      </c>
      <c r="M35" s="22">
        <v>2335.2471412980371</v>
      </c>
      <c r="N35" s="21">
        <v>2499.4529669319045</v>
      </c>
    </row>
    <row r="36" spans="2:14" ht="16.149999999999999" thickBot="1" x14ac:dyDescent="0.55000000000000004">
      <c r="B36" s="20" t="s">
        <v>24</v>
      </c>
      <c r="C36" s="42">
        <v>2639</v>
      </c>
      <c r="D36" s="43">
        <v>695.4</v>
      </c>
      <c r="E36" s="43">
        <v>1467</v>
      </c>
      <c r="F36" s="43">
        <v>539</v>
      </c>
      <c r="G36" s="43">
        <v>306</v>
      </c>
      <c r="H36" s="43">
        <v>0</v>
      </c>
      <c r="I36" s="19">
        <v>1424.3113941771348</v>
      </c>
      <c r="J36" s="19">
        <v>559.60773122860496</v>
      </c>
      <c r="K36" s="19">
        <v>1378.4010857703788</v>
      </c>
      <c r="L36" s="19">
        <v>516.83766248399331</v>
      </c>
      <c r="M36" s="19">
        <v>1883.7449078010563</v>
      </c>
      <c r="N36" s="18">
        <v>1982.6800509116119</v>
      </c>
    </row>
    <row r="37" spans="2:14" ht="16.149999999999999" thickBot="1" x14ac:dyDescent="0.55000000000000004">
      <c r="B37" s="17" t="s">
        <v>23</v>
      </c>
      <c r="C37" s="44">
        <v>899.27</v>
      </c>
      <c r="D37" s="45">
        <v>831.94</v>
      </c>
      <c r="E37" s="45">
        <v>634.04999999999995</v>
      </c>
      <c r="F37" s="45">
        <v>710.69</v>
      </c>
      <c r="G37" s="45">
        <v>1056.8699999999999</v>
      </c>
      <c r="H37" s="45">
        <v>708.70572921000007</v>
      </c>
      <c r="I37" s="16">
        <v>884.5159992272811</v>
      </c>
      <c r="J37" s="16">
        <v>745.66974749578685</v>
      </c>
      <c r="K37" s="16">
        <v>877.14413935059372</v>
      </c>
      <c r="L37" s="16">
        <v>738.80211875088423</v>
      </c>
      <c r="M37" s="16">
        <v>958.28765536783055</v>
      </c>
      <c r="N37" s="15">
        <v>974.1737610639475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C450A-C28A-4A12-B2D9-D52CCD75B6B9}">
  <sheetPr codeName="Sheet1"/>
  <dimension ref="A1:Q1000"/>
  <sheetViews>
    <sheetView topLeftCell="A10" workbookViewId="0">
      <selection activeCell="J8" sqref="J8"/>
    </sheetView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82632.537248704291</v>
      </c>
      <c r="M1" s="1">
        <f>AVERAGE(K1:K1000)</f>
        <v>72922.27219582547</v>
      </c>
    </row>
    <row r="2" spans="1:17" x14ac:dyDescent="0.45">
      <c r="C2" t="s">
        <v>0</v>
      </c>
      <c r="D2" t="s">
        <v>1</v>
      </c>
      <c r="K2">
        <v>56806.073322842385</v>
      </c>
      <c r="M2" s="1">
        <f>_xlfn.STDEV.S(K1:K1000)</f>
        <v>12274.328548148922</v>
      </c>
    </row>
    <row r="3" spans="1:17" x14ac:dyDescent="0.45">
      <c r="B3" t="s">
        <v>7</v>
      </c>
      <c r="C3" s="1">
        <f>73298</f>
        <v>73298</v>
      </c>
      <c r="D3" s="1">
        <v>12244.720714422299</v>
      </c>
      <c r="K3">
        <v>77422.163407402055</v>
      </c>
      <c r="O3" s="3"/>
      <c r="P3" s="4"/>
      <c r="Q3" s="5"/>
    </row>
    <row r="4" spans="1:17" x14ac:dyDescent="0.45">
      <c r="K4">
        <v>70286.419090678697</v>
      </c>
      <c r="O4" s="6"/>
      <c r="P4" s="7"/>
      <c r="Q4" s="8"/>
    </row>
    <row r="5" spans="1:17" x14ac:dyDescent="0.45">
      <c r="B5" t="s">
        <v>2</v>
      </c>
      <c r="C5" s="1">
        <f ca="1">_xlfn.NORM.INV(RAND(),C3,D3)</f>
        <v>83824.265533801256</v>
      </c>
      <c r="K5">
        <v>90328.077328959349</v>
      </c>
      <c r="O5" s="6"/>
      <c r="P5" s="7"/>
      <c r="Q5" s="8"/>
    </row>
    <row r="6" spans="1:17" x14ac:dyDescent="0.45">
      <c r="K6">
        <v>76878.799874358258</v>
      </c>
      <c r="O6" s="6"/>
      <c r="P6" s="7"/>
      <c r="Q6" s="8"/>
    </row>
    <row r="7" spans="1:17" x14ac:dyDescent="0.45">
      <c r="E7">
        <v>0</v>
      </c>
      <c r="F7">
        <v>1</v>
      </c>
      <c r="G7">
        <v>2</v>
      </c>
      <c r="H7">
        <v>3</v>
      </c>
      <c r="I7">
        <v>4</v>
      </c>
      <c r="J7">
        <v>5</v>
      </c>
      <c r="K7">
        <v>65028.496851048963</v>
      </c>
      <c r="O7" s="6"/>
      <c r="P7" s="7"/>
      <c r="Q7" s="8"/>
    </row>
    <row r="8" spans="1:17" x14ac:dyDescent="0.45">
      <c r="B8" t="s">
        <v>3</v>
      </c>
      <c r="C8">
        <v>1000</v>
      </c>
      <c r="E8" s="2">
        <f ca="1">_xlfn.NORM.INV(RAND(),$C$3,$D$3)</f>
        <v>92157.749337980844</v>
      </c>
      <c r="F8" s="2">
        <f ca="1">_xlfn.NORM.INV(RAND(),$C$3,$D$3)</f>
        <v>78920.134636107105</v>
      </c>
      <c r="G8" s="2">
        <f ca="1">_xlfn.NORM.INV(RAND(),$C$3,$D$3)</f>
        <v>82061.784589028786</v>
      </c>
      <c r="H8" s="2">
        <f t="shared" ref="H8:J8" ca="1" si="0">_xlfn.NORM.INV(RAND(),$C$3,$D$3)</f>
        <v>73126.106248216631</v>
      </c>
      <c r="I8" s="2">
        <f t="shared" ca="1" si="0"/>
        <v>95181.140123097852</v>
      </c>
      <c r="J8" s="2">
        <f t="shared" ca="1" si="0"/>
        <v>75846.331948722727</v>
      </c>
      <c r="K8">
        <v>75990.596749096105</v>
      </c>
      <c r="O8" s="6"/>
      <c r="P8" s="7"/>
      <c r="Q8" s="8"/>
    </row>
    <row r="9" spans="1:17" x14ac:dyDescent="0.45">
      <c r="B9" t="s">
        <v>4</v>
      </c>
      <c r="C9">
        <v>5000</v>
      </c>
      <c r="K9">
        <v>70193.714523456802</v>
      </c>
      <c r="O9" s="6"/>
      <c r="P9" s="7"/>
      <c r="Q9" s="8"/>
    </row>
    <row r="10" spans="1:17" x14ac:dyDescent="0.45">
      <c r="B10" t="s">
        <v>6</v>
      </c>
      <c r="C10" s="1">
        <f>MAX(K:K)</f>
        <v>111658.58829437435</v>
      </c>
      <c r="K10">
        <v>64284.702866818887</v>
      </c>
      <c r="O10" s="6"/>
      <c r="P10" s="7"/>
      <c r="Q10" s="8"/>
    </row>
    <row r="11" spans="1:17" x14ac:dyDescent="0.45">
      <c r="B11" t="s">
        <v>5</v>
      </c>
      <c r="C11" s="1">
        <f>MIN(K:K)</f>
        <v>29814.083447434401</v>
      </c>
      <c r="E11" s="1">
        <f>ROUNDDOWN((C10-C11)/100,0)</f>
        <v>818</v>
      </c>
      <c r="K11">
        <v>70068.721082732896</v>
      </c>
      <c r="O11" s="6"/>
      <c r="P11" s="7"/>
      <c r="Q11" s="8"/>
    </row>
    <row r="12" spans="1:17" x14ac:dyDescent="0.45">
      <c r="K12">
        <v>66325.970565528187</v>
      </c>
      <c r="O12" s="6"/>
      <c r="P12" s="7"/>
      <c r="Q12" s="8"/>
    </row>
    <row r="13" spans="1:17" x14ac:dyDescent="0.45">
      <c r="A13" s="1">
        <f>ROUNDDOWN(C11,0)</f>
        <v>29814</v>
      </c>
      <c r="B13">
        <f>COUNTIFS($K$1:$K$1000,"&gt;="&amp; A13,$K$1:$K$1000,"&lt;"&amp; A14)</f>
        <v>2</v>
      </c>
      <c r="C13" s="2"/>
      <c r="K13">
        <v>84812.688122148873</v>
      </c>
      <c r="O13" s="6"/>
      <c r="P13" s="7"/>
      <c r="Q13" s="8"/>
    </row>
    <row r="14" spans="1:17" x14ac:dyDescent="0.45">
      <c r="A14" s="12">
        <f>IF(A13+($C$10-$C$11)/50&lt;=$C$10,A13+($C$10-$C$11)/50,MAX(A13+($C$10-$C$11)/50,$C$10))</f>
        <v>31450.890096938798</v>
      </c>
      <c r="B14">
        <f t="shared" ref="B14:B62" si="1">COUNTIFS($K$1:$K$1000,"&gt;="&amp; A14,$K$1:$K$1000,"&lt;"&amp; A15)</f>
        <v>0</v>
      </c>
      <c r="C14" s="2"/>
      <c r="K14">
        <v>94076.102393500914</v>
      </c>
      <c r="O14" s="6"/>
      <c r="P14" s="7"/>
      <c r="Q14" s="8"/>
    </row>
    <row r="15" spans="1:17" x14ac:dyDescent="0.45">
      <c r="A15" s="12">
        <f t="shared" ref="A15:A63" si="2">IF(A14+($C$10-$C$11)/50&lt;=$C$10,A14+($C$10-$C$11)/50,MAX(A14+($C$10-$C$11)/50,$C$10))</f>
        <v>33087.780193877596</v>
      </c>
      <c r="B15">
        <f t="shared" si="1"/>
        <v>0</v>
      </c>
      <c r="C15" s="2"/>
      <c r="K15">
        <v>51250.928624428234</v>
      </c>
      <c r="O15" s="6"/>
      <c r="P15" s="7"/>
      <c r="Q15" s="8"/>
    </row>
    <row r="16" spans="1:17" x14ac:dyDescent="0.45">
      <c r="A16" s="12">
        <f t="shared" si="2"/>
        <v>34724.670290816393</v>
      </c>
      <c r="B16">
        <f t="shared" si="1"/>
        <v>0</v>
      </c>
      <c r="C16" s="2"/>
      <c r="K16">
        <v>77622.062185002462</v>
      </c>
      <c r="O16" s="6"/>
      <c r="P16" s="7"/>
      <c r="Q16" s="8"/>
    </row>
    <row r="17" spans="1:17" x14ac:dyDescent="0.45">
      <c r="A17" s="12">
        <f t="shared" si="2"/>
        <v>36361.560387755191</v>
      </c>
      <c r="B17">
        <f t="shared" si="1"/>
        <v>1</v>
      </c>
      <c r="C17" s="2"/>
      <c r="K17">
        <v>81984.35429996108</v>
      </c>
      <c r="O17" s="6"/>
      <c r="P17" s="7"/>
      <c r="Q17" s="8"/>
    </row>
    <row r="18" spans="1:17" x14ac:dyDescent="0.45">
      <c r="A18" s="12">
        <f t="shared" si="2"/>
        <v>37998.450484693989</v>
      </c>
      <c r="B18">
        <f t="shared" si="1"/>
        <v>0</v>
      </c>
      <c r="C18" s="2"/>
      <c r="K18">
        <v>47014.120543095152</v>
      </c>
      <c r="O18" s="6"/>
      <c r="P18" s="7"/>
      <c r="Q18" s="8"/>
    </row>
    <row r="19" spans="1:17" x14ac:dyDescent="0.45">
      <c r="A19" s="12">
        <f t="shared" si="2"/>
        <v>39635.340581632787</v>
      </c>
      <c r="B19">
        <f t="shared" si="1"/>
        <v>0</v>
      </c>
      <c r="C19" s="2"/>
      <c r="K19">
        <v>81778.924032782146</v>
      </c>
      <c r="O19" s="6"/>
      <c r="P19" s="7"/>
      <c r="Q19" s="8"/>
    </row>
    <row r="20" spans="1:17" x14ac:dyDescent="0.45">
      <c r="A20" s="12">
        <f t="shared" si="2"/>
        <v>41272.230678571585</v>
      </c>
      <c r="B20">
        <f t="shared" si="1"/>
        <v>3</v>
      </c>
      <c r="C20" s="2"/>
      <c r="K20">
        <v>59066.010130732473</v>
      </c>
      <c r="O20" s="9"/>
      <c r="P20" s="10"/>
      <c r="Q20" s="11"/>
    </row>
    <row r="21" spans="1:17" x14ac:dyDescent="0.45">
      <c r="A21" s="12">
        <f t="shared" si="2"/>
        <v>42909.120775510382</v>
      </c>
      <c r="B21">
        <f t="shared" si="1"/>
        <v>3</v>
      </c>
      <c r="C21" s="2"/>
      <c r="K21">
        <v>86833.780319310172</v>
      </c>
    </row>
    <row r="22" spans="1:17" x14ac:dyDescent="0.45">
      <c r="A22" s="12">
        <f t="shared" si="2"/>
        <v>44546.01087244918</v>
      </c>
      <c r="B22">
        <f t="shared" si="1"/>
        <v>4</v>
      </c>
      <c r="C22" s="2"/>
      <c r="K22">
        <v>72099.815896262648</v>
      </c>
    </row>
    <row r="23" spans="1:17" x14ac:dyDescent="0.45">
      <c r="A23" s="12">
        <f t="shared" si="2"/>
        <v>46182.900969387978</v>
      </c>
      <c r="B23">
        <f t="shared" si="1"/>
        <v>8</v>
      </c>
      <c r="C23" s="2"/>
      <c r="K23">
        <v>76890.046453223767</v>
      </c>
    </row>
    <row r="24" spans="1:17" x14ac:dyDescent="0.45">
      <c r="A24" s="12">
        <f t="shared" si="2"/>
        <v>47819.791066326776</v>
      </c>
      <c r="B24">
        <f t="shared" si="1"/>
        <v>8</v>
      </c>
      <c r="C24" s="2"/>
      <c r="K24">
        <v>80439.05234246586</v>
      </c>
    </row>
    <row r="25" spans="1:17" x14ac:dyDescent="0.45">
      <c r="A25" s="12">
        <f t="shared" si="2"/>
        <v>49456.681163265574</v>
      </c>
      <c r="B25">
        <f t="shared" si="1"/>
        <v>8</v>
      </c>
      <c r="C25" s="2"/>
      <c r="K25">
        <v>74676.93070575266</v>
      </c>
    </row>
    <row r="26" spans="1:17" x14ac:dyDescent="0.45">
      <c r="A26" s="12">
        <f t="shared" si="2"/>
        <v>51093.571260204371</v>
      </c>
      <c r="B26">
        <f t="shared" si="1"/>
        <v>16</v>
      </c>
      <c r="C26" s="2"/>
      <c r="K26">
        <v>77510.209841777076</v>
      </c>
    </row>
    <row r="27" spans="1:17" x14ac:dyDescent="0.45">
      <c r="A27" s="12">
        <f t="shared" si="2"/>
        <v>52730.461357143169</v>
      </c>
      <c r="B27">
        <f t="shared" si="1"/>
        <v>19</v>
      </c>
      <c r="C27" s="2"/>
      <c r="K27">
        <v>111658.58829437435</v>
      </c>
    </row>
    <row r="28" spans="1:17" x14ac:dyDescent="0.45">
      <c r="A28" s="12">
        <f t="shared" si="2"/>
        <v>54367.351454081967</v>
      </c>
      <c r="B28">
        <f t="shared" si="1"/>
        <v>18</v>
      </c>
      <c r="C28" s="2"/>
      <c r="K28">
        <v>72923.256635715006</v>
      </c>
    </row>
    <row r="29" spans="1:17" x14ac:dyDescent="0.45">
      <c r="A29" s="12">
        <f t="shared" si="2"/>
        <v>56004.241551020765</v>
      </c>
      <c r="B29">
        <f t="shared" si="1"/>
        <v>19</v>
      </c>
      <c r="C29" s="2"/>
      <c r="K29">
        <v>70647.376337127716</v>
      </c>
    </row>
    <row r="30" spans="1:17" x14ac:dyDescent="0.45">
      <c r="A30" s="12">
        <f t="shared" si="2"/>
        <v>57641.131647959563</v>
      </c>
      <c r="B30">
        <f t="shared" si="1"/>
        <v>20</v>
      </c>
      <c r="C30" s="2"/>
      <c r="K30">
        <v>47275.981904955748</v>
      </c>
    </row>
    <row r="31" spans="1:17" x14ac:dyDescent="0.45">
      <c r="A31" s="12">
        <f t="shared" si="2"/>
        <v>59278.02174489836</v>
      </c>
      <c r="B31">
        <f t="shared" si="1"/>
        <v>35</v>
      </c>
      <c r="C31" s="2"/>
      <c r="K31">
        <v>74437.684820070033</v>
      </c>
    </row>
    <row r="32" spans="1:17" x14ac:dyDescent="0.45">
      <c r="A32" s="12">
        <f t="shared" si="2"/>
        <v>60914.911841837158</v>
      </c>
      <c r="B32">
        <f t="shared" si="1"/>
        <v>30</v>
      </c>
      <c r="C32" s="2"/>
      <c r="K32">
        <v>92678.16252660178</v>
      </c>
    </row>
    <row r="33" spans="1:11" x14ac:dyDescent="0.45">
      <c r="A33" s="12">
        <f t="shared" si="2"/>
        <v>62551.801938775956</v>
      </c>
      <c r="B33">
        <f t="shared" si="1"/>
        <v>39</v>
      </c>
      <c r="C33" s="2"/>
      <c r="K33">
        <v>79637.811911501471</v>
      </c>
    </row>
    <row r="34" spans="1:11" x14ac:dyDescent="0.45">
      <c r="A34" s="12">
        <f t="shared" si="2"/>
        <v>64188.692035714754</v>
      </c>
      <c r="B34">
        <f t="shared" si="1"/>
        <v>28</v>
      </c>
      <c r="C34" s="2"/>
      <c r="K34">
        <v>70228.509176341729</v>
      </c>
    </row>
    <row r="35" spans="1:11" x14ac:dyDescent="0.45">
      <c r="A35" s="12">
        <f t="shared" si="2"/>
        <v>65825.582132653552</v>
      </c>
      <c r="B35">
        <f t="shared" si="1"/>
        <v>47</v>
      </c>
      <c r="C35" s="2"/>
      <c r="K35">
        <v>92681.743186853113</v>
      </c>
    </row>
    <row r="36" spans="1:11" x14ac:dyDescent="0.45">
      <c r="A36" s="12">
        <f t="shared" si="2"/>
        <v>67462.472229592357</v>
      </c>
      <c r="B36">
        <f t="shared" si="1"/>
        <v>49</v>
      </c>
      <c r="C36" s="2"/>
      <c r="K36">
        <v>72363.749093234976</v>
      </c>
    </row>
    <row r="37" spans="1:11" x14ac:dyDescent="0.45">
      <c r="A37" s="12">
        <f t="shared" si="2"/>
        <v>69099.362326531162</v>
      </c>
      <c r="B37">
        <f t="shared" si="1"/>
        <v>71</v>
      </c>
      <c r="C37" s="2"/>
      <c r="K37">
        <v>72276.171976758589</v>
      </c>
    </row>
    <row r="38" spans="1:11" x14ac:dyDescent="0.45">
      <c r="A38" s="12">
        <f t="shared" si="2"/>
        <v>70736.252423469967</v>
      </c>
      <c r="B38">
        <f t="shared" si="1"/>
        <v>63</v>
      </c>
      <c r="C38" s="2"/>
      <c r="K38">
        <v>76301.978305059718</v>
      </c>
    </row>
    <row r="39" spans="1:11" x14ac:dyDescent="0.45">
      <c r="A39" s="12">
        <f t="shared" si="2"/>
        <v>72373.142520408772</v>
      </c>
      <c r="B39">
        <f t="shared" si="1"/>
        <v>51</v>
      </c>
      <c r="C39" s="2"/>
      <c r="K39">
        <v>78127.82469884897</v>
      </c>
    </row>
    <row r="40" spans="1:11" x14ac:dyDescent="0.45">
      <c r="A40" s="12">
        <f t="shared" si="2"/>
        <v>74010.032617347577</v>
      </c>
      <c r="B40">
        <f t="shared" si="1"/>
        <v>47</v>
      </c>
      <c r="C40" s="2"/>
      <c r="K40">
        <v>76807.811118408819</v>
      </c>
    </row>
    <row r="41" spans="1:11" x14ac:dyDescent="0.45">
      <c r="A41" s="12">
        <f t="shared" si="2"/>
        <v>75646.922714286382</v>
      </c>
      <c r="B41">
        <f t="shared" si="1"/>
        <v>57</v>
      </c>
      <c r="C41" s="2"/>
      <c r="K41">
        <v>87441.017214596228</v>
      </c>
    </row>
    <row r="42" spans="1:11" x14ac:dyDescent="0.45">
      <c r="A42" s="12">
        <f t="shared" si="2"/>
        <v>77283.812811225187</v>
      </c>
      <c r="B42">
        <f t="shared" si="1"/>
        <v>55</v>
      </c>
      <c r="C42" s="2"/>
      <c r="K42">
        <v>73951.17180649114</v>
      </c>
    </row>
    <row r="43" spans="1:11" x14ac:dyDescent="0.45">
      <c r="A43" s="12">
        <f t="shared" si="2"/>
        <v>78920.702908163992</v>
      </c>
      <c r="B43">
        <f t="shared" si="1"/>
        <v>47</v>
      </c>
      <c r="C43" s="2"/>
      <c r="K43">
        <v>89427.523807251593</v>
      </c>
    </row>
    <row r="44" spans="1:11" x14ac:dyDescent="0.45">
      <c r="A44" s="12">
        <f t="shared" si="2"/>
        <v>80557.593005102797</v>
      </c>
      <c r="B44">
        <f t="shared" si="1"/>
        <v>50</v>
      </c>
      <c r="C44" s="2"/>
      <c r="K44">
        <v>83910.32443220714</v>
      </c>
    </row>
    <row r="45" spans="1:11" x14ac:dyDescent="0.45">
      <c r="A45" s="12">
        <f t="shared" si="2"/>
        <v>82194.483102041602</v>
      </c>
      <c r="B45">
        <f t="shared" si="1"/>
        <v>30</v>
      </c>
      <c r="C45" s="2"/>
      <c r="K45">
        <v>72032.324909066767</v>
      </c>
    </row>
    <row r="46" spans="1:11" x14ac:dyDescent="0.45">
      <c r="A46" s="12">
        <f t="shared" si="2"/>
        <v>83831.373198980407</v>
      </c>
      <c r="B46">
        <f t="shared" si="1"/>
        <v>27</v>
      </c>
      <c r="C46" s="2"/>
      <c r="K46">
        <v>69821.320154017449</v>
      </c>
    </row>
    <row r="47" spans="1:11" x14ac:dyDescent="0.45">
      <c r="A47" s="12">
        <f t="shared" si="2"/>
        <v>85468.263295919212</v>
      </c>
      <c r="B47">
        <f t="shared" si="1"/>
        <v>18</v>
      </c>
      <c r="C47" s="2"/>
      <c r="K47">
        <v>77261.144490585692</v>
      </c>
    </row>
    <row r="48" spans="1:11" x14ac:dyDescent="0.45">
      <c r="A48" s="12">
        <f t="shared" si="2"/>
        <v>87105.153392858017</v>
      </c>
      <c r="B48">
        <f t="shared" si="1"/>
        <v>25</v>
      </c>
      <c r="C48" s="2"/>
      <c r="K48">
        <v>73675.53407406334</v>
      </c>
    </row>
    <row r="49" spans="1:11" x14ac:dyDescent="0.45">
      <c r="A49" s="12">
        <f t="shared" si="2"/>
        <v>88742.043489796823</v>
      </c>
      <c r="B49">
        <f t="shared" si="1"/>
        <v>19</v>
      </c>
      <c r="C49" s="2"/>
      <c r="K49">
        <v>88524.030511653051</v>
      </c>
    </row>
    <row r="50" spans="1:11" x14ac:dyDescent="0.45">
      <c r="A50" s="12">
        <f t="shared" si="2"/>
        <v>90378.933586735628</v>
      </c>
      <c r="B50">
        <f t="shared" si="1"/>
        <v>21</v>
      </c>
      <c r="C50" s="2"/>
      <c r="K50">
        <v>79382.016296453905</v>
      </c>
    </row>
    <row r="51" spans="1:11" x14ac:dyDescent="0.45">
      <c r="A51" s="12">
        <f t="shared" si="2"/>
        <v>92015.823683674433</v>
      </c>
      <c r="B51">
        <f t="shared" si="1"/>
        <v>17</v>
      </c>
      <c r="C51" s="2"/>
      <c r="K51">
        <v>80755.617696137502</v>
      </c>
    </row>
    <row r="52" spans="1:11" x14ac:dyDescent="0.45">
      <c r="A52" s="12">
        <f t="shared" si="2"/>
        <v>93652.713780613238</v>
      </c>
      <c r="B52">
        <f t="shared" si="1"/>
        <v>10</v>
      </c>
      <c r="C52" s="2"/>
      <c r="K52">
        <v>74993.130966811616</v>
      </c>
    </row>
    <row r="53" spans="1:11" x14ac:dyDescent="0.45">
      <c r="A53" s="12">
        <f t="shared" si="2"/>
        <v>95289.603877552043</v>
      </c>
      <c r="B53">
        <f t="shared" si="1"/>
        <v>4</v>
      </c>
      <c r="C53" s="2"/>
      <c r="K53">
        <v>87580.028659761563</v>
      </c>
    </row>
    <row r="54" spans="1:11" x14ac:dyDescent="0.45">
      <c r="A54" s="12">
        <f t="shared" si="2"/>
        <v>96926.493974490848</v>
      </c>
      <c r="B54">
        <f t="shared" si="1"/>
        <v>8</v>
      </c>
      <c r="C54" s="2"/>
      <c r="K54">
        <v>82672.896427865693</v>
      </c>
    </row>
    <row r="55" spans="1:11" x14ac:dyDescent="0.45">
      <c r="A55" s="12">
        <f t="shared" si="2"/>
        <v>98563.384071429653</v>
      </c>
      <c r="B55">
        <f t="shared" si="1"/>
        <v>6</v>
      </c>
      <c r="C55" s="2"/>
      <c r="K55">
        <v>73667.216195682005</v>
      </c>
    </row>
    <row r="56" spans="1:11" x14ac:dyDescent="0.45">
      <c r="A56" s="12">
        <f t="shared" si="2"/>
        <v>100200.27416836846</v>
      </c>
      <c r="B56">
        <f t="shared" si="1"/>
        <v>3</v>
      </c>
      <c r="C56" s="2"/>
      <c r="K56">
        <v>92979.576822461473</v>
      </c>
    </row>
    <row r="57" spans="1:11" x14ac:dyDescent="0.45">
      <c r="A57" s="12">
        <f t="shared" si="2"/>
        <v>101837.16426530726</v>
      </c>
      <c r="B57">
        <f t="shared" si="1"/>
        <v>5</v>
      </c>
      <c r="C57" s="2"/>
      <c r="K57">
        <v>78036.314589255038</v>
      </c>
    </row>
    <row r="58" spans="1:11" x14ac:dyDescent="0.45">
      <c r="A58" s="12">
        <f t="shared" si="2"/>
        <v>103474.05436224607</v>
      </c>
      <c r="B58">
        <f t="shared" si="1"/>
        <v>3</v>
      </c>
      <c r="C58" s="2"/>
      <c r="K58">
        <v>88629.570501326089</v>
      </c>
    </row>
    <row r="59" spans="1:11" x14ac:dyDescent="0.45">
      <c r="A59" s="12">
        <f t="shared" si="2"/>
        <v>105110.94445918487</v>
      </c>
      <c r="B59">
        <f t="shared" si="1"/>
        <v>3</v>
      </c>
      <c r="C59" s="2"/>
      <c r="K59">
        <v>52851.766743730201</v>
      </c>
    </row>
    <row r="60" spans="1:11" x14ac:dyDescent="0.45">
      <c r="A60" s="12">
        <f t="shared" si="2"/>
        <v>106747.83455612368</v>
      </c>
      <c r="B60">
        <f t="shared" si="1"/>
        <v>1</v>
      </c>
      <c r="C60" s="2"/>
      <c r="K60">
        <v>76278.166252246199</v>
      </c>
    </row>
    <row r="61" spans="1:11" x14ac:dyDescent="0.45">
      <c r="A61" s="12">
        <f t="shared" si="2"/>
        <v>108384.72465306248</v>
      </c>
      <c r="B61">
        <f t="shared" si="1"/>
        <v>0</v>
      </c>
      <c r="C61" s="2"/>
      <c r="K61">
        <v>68493.85636182937</v>
      </c>
    </row>
    <row r="62" spans="1:11" x14ac:dyDescent="0.45">
      <c r="A62" s="12">
        <f t="shared" si="2"/>
        <v>110021.61475000129</v>
      </c>
      <c r="B62">
        <f t="shared" si="1"/>
        <v>1</v>
      </c>
      <c r="C62" s="2"/>
      <c r="K62">
        <v>92027.480977240761</v>
      </c>
    </row>
    <row r="63" spans="1:11" x14ac:dyDescent="0.45">
      <c r="A63" s="12">
        <f t="shared" si="2"/>
        <v>111658.50484694009</v>
      </c>
      <c r="B63">
        <f>COUNTIFS($K$1:$K$1000,"&gt;="&amp; A63)</f>
        <v>1</v>
      </c>
      <c r="C63" s="2"/>
      <c r="K63">
        <v>78268.570123142563</v>
      </c>
    </row>
    <row r="64" spans="1:11" x14ac:dyDescent="0.45">
      <c r="A64" s="12"/>
      <c r="B64">
        <f>SUM(B13:B63)</f>
        <v>1000</v>
      </c>
      <c r="C64" s="2"/>
      <c r="K64">
        <v>79887.092323086166</v>
      </c>
    </row>
    <row r="65" spans="1:11" x14ac:dyDescent="0.45">
      <c r="A65" s="12"/>
      <c r="C65" s="2"/>
      <c r="K65">
        <v>68118.537997966923</v>
      </c>
    </row>
    <row r="66" spans="1:11" x14ac:dyDescent="0.45">
      <c r="A66" s="12"/>
      <c r="C66" s="2"/>
      <c r="K66">
        <v>62849.134683290504</v>
      </c>
    </row>
    <row r="67" spans="1:11" x14ac:dyDescent="0.45">
      <c r="A67" s="12"/>
      <c r="C67" s="2"/>
      <c r="K67">
        <v>69675.85427749723</v>
      </c>
    </row>
    <row r="68" spans="1:11" x14ac:dyDescent="0.45">
      <c r="A68" s="12"/>
      <c r="C68" s="2"/>
      <c r="K68">
        <v>48054.232293174151</v>
      </c>
    </row>
    <row r="69" spans="1:11" x14ac:dyDescent="0.45">
      <c r="A69" s="12"/>
      <c r="C69" s="2"/>
      <c r="K69">
        <v>61072.661196182584</v>
      </c>
    </row>
    <row r="70" spans="1:11" x14ac:dyDescent="0.45">
      <c r="A70" s="12"/>
      <c r="C70" s="2"/>
      <c r="K70">
        <v>76413.658197556884</v>
      </c>
    </row>
    <row r="71" spans="1:11" x14ac:dyDescent="0.45">
      <c r="A71" s="12"/>
      <c r="C71" s="2"/>
      <c r="K71">
        <v>58496.469100709517</v>
      </c>
    </row>
    <row r="72" spans="1:11" x14ac:dyDescent="0.45">
      <c r="A72" s="12"/>
      <c r="C72" s="2"/>
      <c r="K72">
        <v>67521.87158037012</v>
      </c>
    </row>
    <row r="73" spans="1:11" x14ac:dyDescent="0.45">
      <c r="A73" s="12"/>
      <c r="C73" s="2"/>
      <c r="K73">
        <v>80160.620887816796</v>
      </c>
    </row>
    <row r="74" spans="1:11" x14ac:dyDescent="0.45">
      <c r="A74" s="12"/>
      <c r="C74" s="2"/>
      <c r="K74">
        <v>86652.142502676594</v>
      </c>
    </row>
    <row r="75" spans="1:11" x14ac:dyDescent="0.45">
      <c r="A75" s="12"/>
      <c r="C75" s="2"/>
      <c r="K75">
        <v>73643.841408988956</v>
      </c>
    </row>
    <row r="76" spans="1:11" x14ac:dyDescent="0.45">
      <c r="A76" s="12"/>
      <c r="C76" s="2"/>
      <c r="K76">
        <v>81115.966697620723</v>
      </c>
    </row>
    <row r="77" spans="1:11" x14ac:dyDescent="0.45">
      <c r="A77" s="12"/>
      <c r="C77" s="2"/>
      <c r="K77">
        <v>85792.558197265884</v>
      </c>
    </row>
    <row r="78" spans="1:11" x14ac:dyDescent="0.45">
      <c r="A78" s="12"/>
      <c r="C78" s="2"/>
      <c r="K78">
        <v>49586.878595516566</v>
      </c>
    </row>
    <row r="79" spans="1:11" x14ac:dyDescent="0.45">
      <c r="A79" s="12"/>
      <c r="C79" s="2"/>
      <c r="K79">
        <v>76714.318386452898</v>
      </c>
    </row>
    <row r="80" spans="1:11" x14ac:dyDescent="0.45">
      <c r="A80" s="12"/>
      <c r="C80" s="2"/>
      <c r="K80">
        <v>97401.0877458178</v>
      </c>
    </row>
    <row r="81" spans="1:11" x14ac:dyDescent="0.45">
      <c r="A81" s="12"/>
      <c r="C81" s="2"/>
      <c r="K81">
        <v>60617.765383566271</v>
      </c>
    </row>
    <row r="82" spans="1:11" x14ac:dyDescent="0.45">
      <c r="A82" s="12"/>
      <c r="C82" s="2"/>
      <c r="K82">
        <v>57268.941564256689</v>
      </c>
    </row>
    <row r="83" spans="1:11" x14ac:dyDescent="0.45">
      <c r="A83" s="12"/>
      <c r="C83" s="2"/>
      <c r="K83">
        <v>67751.323932968808</v>
      </c>
    </row>
    <row r="84" spans="1:11" x14ac:dyDescent="0.45">
      <c r="A84" s="12"/>
      <c r="K84">
        <v>80616.627177446193</v>
      </c>
    </row>
    <row r="85" spans="1:11" x14ac:dyDescent="0.45">
      <c r="A85" s="12"/>
      <c r="K85">
        <v>52048.517110219254</v>
      </c>
    </row>
    <row r="86" spans="1:11" x14ac:dyDescent="0.45">
      <c r="A86" s="12"/>
      <c r="K86">
        <v>52068.256285662021</v>
      </c>
    </row>
    <row r="87" spans="1:11" x14ac:dyDescent="0.45">
      <c r="A87" s="12"/>
      <c r="K87">
        <v>58370.922358616903</v>
      </c>
    </row>
    <row r="88" spans="1:11" x14ac:dyDescent="0.45">
      <c r="A88" s="12"/>
      <c r="K88">
        <v>72090.615600784455</v>
      </c>
    </row>
    <row r="89" spans="1:11" x14ac:dyDescent="0.45">
      <c r="A89" s="12"/>
      <c r="K89">
        <v>88066.88109405525</v>
      </c>
    </row>
    <row r="90" spans="1:11" x14ac:dyDescent="0.45">
      <c r="A90" s="12"/>
      <c r="K90">
        <v>66542.788421375444</v>
      </c>
    </row>
    <row r="91" spans="1:11" x14ac:dyDescent="0.45">
      <c r="A91" s="12"/>
      <c r="K91">
        <v>101126.97723801639</v>
      </c>
    </row>
    <row r="92" spans="1:11" x14ac:dyDescent="0.45">
      <c r="A92" s="12"/>
      <c r="K92">
        <v>86146.098850116105</v>
      </c>
    </row>
    <row r="93" spans="1:11" x14ac:dyDescent="0.45">
      <c r="A93" s="12"/>
      <c r="K93">
        <v>53874.194632381194</v>
      </c>
    </row>
    <row r="94" spans="1:11" x14ac:dyDescent="0.45">
      <c r="A94" s="12"/>
      <c r="K94">
        <v>52775.199428014879</v>
      </c>
    </row>
    <row r="95" spans="1:11" x14ac:dyDescent="0.45">
      <c r="A95" s="12"/>
      <c r="K95">
        <v>66878.890024454828</v>
      </c>
    </row>
    <row r="96" spans="1:11" x14ac:dyDescent="0.45">
      <c r="A96" s="12"/>
      <c r="K96">
        <v>52031.137123517292</v>
      </c>
    </row>
    <row r="97" spans="1:11" x14ac:dyDescent="0.45">
      <c r="A97" s="12"/>
      <c r="K97">
        <v>76037.44921386514</v>
      </c>
    </row>
    <row r="98" spans="1:11" x14ac:dyDescent="0.45">
      <c r="A98" s="12"/>
      <c r="K98">
        <v>68062.914812591815</v>
      </c>
    </row>
    <row r="99" spans="1:11" x14ac:dyDescent="0.45">
      <c r="A99" s="12"/>
      <c r="K99">
        <v>63982.745784275648</v>
      </c>
    </row>
    <row r="100" spans="1:11" x14ac:dyDescent="0.45">
      <c r="A100" s="12"/>
      <c r="K100">
        <v>72132.254113710311</v>
      </c>
    </row>
    <row r="101" spans="1:11" x14ac:dyDescent="0.45">
      <c r="A101" s="12"/>
      <c r="K101">
        <v>67593.166122885828</v>
      </c>
    </row>
    <row r="102" spans="1:11" x14ac:dyDescent="0.45">
      <c r="A102" s="12"/>
      <c r="K102">
        <v>64016.347203481208</v>
      </c>
    </row>
    <row r="103" spans="1:11" x14ac:dyDescent="0.45">
      <c r="A103" s="12"/>
      <c r="K103">
        <v>48868.793301427031</v>
      </c>
    </row>
    <row r="104" spans="1:11" x14ac:dyDescent="0.45">
      <c r="A104" s="12"/>
      <c r="K104">
        <v>70965.279616785308</v>
      </c>
    </row>
    <row r="105" spans="1:11" x14ac:dyDescent="0.45">
      <c r="A105" s="12"/>
      <c r="K105">
        <v>74482.064208439289</v>
      </c>
    </row>
    <row r="106" spans="1:11" x14ac:dyDescent="0.45">
      <c r="A106" s="12"/>
      <c r="K106">
        <v>65246.650093581738</v>
      </c>
    </row>
    <row r="107" spans="1:11" x14ac:dyDescent="0.45">
      <c r="A107" s="12"/>
      <c r="K107">
        <v>69486.982949598168</v>
      </c>
    </row>
    <row r="108" spans="1:11" x14ac:dyDescent="0.45">
      <c r="A108" s="12"/>
      <c r="K108">
        <v>75913.86136661518</v>
      </c>
    </row>
    <row r="109" spans="1:11" x14ac:dyDescent="0.45">
      <c r="A109" s="12"/>
      <c r="K109">
        <v>92353.977257714811</v>
      </c>
    </row>
    <row r="110" spans="1:11" x14ac:dyDescent="0.45">
      <c r="A110" s="12"/>
      <c r="K110">
        <v>70394.547500787652</v>
      </c>
    </row>
    <row r="111" spans="1:11" x14ac:dyDescent="0.45">
      <c r="A111" s="12"/>
      <c r="K111">
        <v>61088.376135422091</v>
      </c>
    </row>
    <row r="112" spans="1:11" x14ac:dyDescent="0.45">
      <c r="A112" s="12"/>
      <c r="K112">
        <v>65502.601553119559</v>
      </c>
    </row>
    <row r="113" spans="1:11" x14ac:dyDescent="0.45">
      <c r="A113" s="12"/>
      <c r="K113">
        <v>101600.75671503224</v>
      </c>
    </row>
    <row r="114" spans="1:11" x14ac:dyDescent="0.45">
      <c r="A114" s="12"/>
      <c r="K114">
        <v>68942.656044913107</v>
      </c>
    </row>
    <row r="115" spans="1:11" x14ac:dyDescent="0.45">
      <c r="B115">
        <f>SUM(B13:B114)</f>
        <v>2000</v>
      </c>
      <c r="K115">
        <v>57644.625498881243</v>
      </c>
    </row>
    <row r="116" spans="1:11" x14ac:dyDescent="0.45">
      <c r="K116">
        <v>47195.868094361984</v>
      </c>
    </row>
    <row r="117" spans="1:11" x14ac:dyDescent="0.45">
      <c r="K117">
        <v>62552.547578976984</v>
      </c>
    </row>
    <row r="118" spans="1:11" x14ac:dyDescent="0.45">
      <c r="K118">
        <v>75152.658861528966</v>
      </c>
    </row>
    <row r="119" spans="1:11" x14ac:dyDescent="0.45">
      <c r="K119">
        <v>37045.994532659934</v>
      </c>
    </row>
    <row r="120" spans="1:11" x14ac:dyDescent="0.45">
      <c r="K120">
        <v>55585.288616434576</v>
      </c>
    </row>
    <row r="121" spans="1:11" x14ac:dyDescent="0.45">
      <c r="K121">
        <v>71834.660165094087</v>
      </c>
    </row>
    <row r="122" spans="1:11" x14ac:dyDescent="0.45">
      <c r="K122">
        <v>81976.349392960139</v>
      </c>
    </row>
    <row r="123" spans="1:11" x14ac:dyDescent="0.45">
      <c r="K123">
        <v>74895.582383551591</v>
      </c>
    </row>
    <row r="124" spans="1:11" x14ac:dyDescent="0.45">
      <c r="K124">
        <v>96406.7396174569</v>
      </c>
    </row>
    <row r="125" spans="1:11" x14ac:dyDescent="0.45">
      <c r="K125">
        <v>69990.79125293548</v>
      </c>
    </row>
    <row r="126" spans="1:11" x14ac:dyDescent="0.45">
      <c r="K126">
        <v>81153.973272305273</v>
      </c>
    </row>
    <row r="127" spans="1:11" x14ac:dyDescent="0.45">
      <c r="K127">
        <v>85310.147612396002</v>
      </c>
    </row>
    <row r="128" spans="1:11" x14ac:dyDescent="0.45">
      <c r="K128">
        <v>78140.778922856145</v>
      </c>
    </row>
    <row r="129" spans="11:11" x14ac:dyDescent="0.45">
      <c r="K129">
        <v>79149.411929422902</v>
      </c>
    </row>
    <row r="130" spans="11:11" x14ac:dyDescent="0.45">
      <c r="K130">
        <v>98738.97933573254</v>
      </c>
    </row>
    <row r="131" spans="11:11" x14ac:dyDescent="0.45">
      <c r="K131">
        <v>73167.012143200816</v>
      </c>
    </row>
    <row r="132" spans="11:11" x14ac:dyDescent="0.45">
      <c r="K132">
        <v>80773.948716632061</v>
      </c>
    </row>
    <row r="133" spans="11:11" x14ac:dyDescent="0.45">
      <c r="K133">
        <v>80571.522303598074</v>
      </c>
    </row>
    <row r="134" spans="11:11" x14ac:dyDescent="0.45">
      <c r="K134">
        <v>80303.998983571219</v>
      </c>
    </row>
    <row r="135" spans="11:11" x14ac:dyDescent="0.45">
      <c r="K135">
        <v>85890.328124566659</v>
      </c>
    </row>
    <row r="136" spans="11:11" x14ac:dyDescent="0.45">
      <c r="K136">
        <v>53811.896445013954</v>
      </c>
    </row>
    <row r="137" spans="11:11" x14ac:dyDescent="0.45">
      <c r="K137">
        <v>80401.185802170628</v>
      </c>
    </row>
    <row r="138" spans="11:11" x14ac:dyDescent="0.45">
      <c r="K138">
        <v>62094.37117633054</v>
      </c>
    </row>
    <row r="139" spans="11:11" x14ac:dyDescent="0.45">
      <c r="K139">
        <v>89287.962367195461</v>
      </c>
    </row>
    <row r="140" spans="11:11" x14ac:dyDescent="0.45">
      <c r="K140">
        <v>59590.753193006203</v>
      </c>
    </row>
    <row r="141" spans="11:11" x14ac:dyDescent="0.45">
      <c r="K141">
        <v>68938.760379295578</v>
      </c>
    </row>
    <row r="142" spans="11:11" x14ac:dyDescent="0.45">
      <c r="K142">
        <v>66770.047886652959</v>
      </c>
    </row>
    <row r="143" spans="11:11" x14ac:dyDescent="0.45">
      <c r="K143">
        <v>78674.584136397403</v>
      </c>
    </row>
    <row r="144" spans="11:11" x14ac:dyDescent="0.45">
      <c r="K144">
        <v>69260.189357125593</v>
      </c>
    </row>
    <row r="145" spans="11:11" x14ac:dyDescent="0.45">
      <c r="K145">
        <v>59686.41353139469</v>
      </c>
    </row>
    <row r="146" spans="11:11" x14ac:dyDescent="0.45">
      <c r="K146">
        <v>49775.417233822373</v>
      </c>
    </row>
    <row r="147" spans="11:11" x14ac:dyDescent="0.45">
      <c r="K147">
        <v>68954.353279297982</v>
      </c>
    </row>
    <row r="148" spans="11:11" x14ac:dyDescent="0.45">
      <c r="K148">
        <v>89100.698212770134</v>
      </c>
    </row>
    <row r="149" spans="11:11" x14ac:dyDescent="0.45">
      <c r="K149">
        <v>57606.844792940647</v>
      </c>
    </row>
    <row r="150" spans="11:11" x14ac:dyDescent="0.45">
      <c r="K150">
        <v>68082.393824592829</v>
      </c>
    </row>
    <row r="151" spans="11:11" x14ac:dyDescent="0.45">
      <c r="K151">
        <v>73853.228615827509</v>
      </c>
    </row>
    <row r="152" spans="11:11" x14ac:dyDescent="0.45">
      <c r="K152">
        <v>77212.211345271993</v>
      </c>
    </row>
    <row r="153" spans="11:11" x14ac:dyDescent="0.45">
      <c r="K153">
        <v>62167.325142493777</v>
      </c>
    </row>
    <row r="154" spans="11:11" x14ac:dyDescent="0.45">
      <c r="K154">
        <v>51186.767346407287</v>
      </c>
    </row>
    <row r="155" spans="11:11" x14ac:dyDescent="0.45">
      <c r="K155">
        <v>69683.448019547126</v>
      </c>
    </row>
    <row r="156" spans="11:11" x14ac:dyDescent="0.45">
      <c r="K156">
        <v>73818.22573289409</v>
      </c>
    </row>
    <row r="157" spans="11:11" x14ac:dyDescent="0.45">
      <c r="K157">
        <v>83431.392927238718</v>
      </c>
    </row>
    <row r="158" spans="11:11" x14ac:dyDescent="0.45">
      <c r="K158">
        <v>78983.959385481328</v>
      </c>
    </row>
    <row r="159" spans="11:11" x14ac:dyDescent="0.45">
      <c r="K159">
        <v>58959.381060420375</v>
      </c>
    </row>
    <row r="160" spans="11:11" x14ac:dyDescent="0.45">
      <c r="K160">
        <v>53784.834612944134</v>
      </c>
    </row>
    <row r="161" spans="11:11" x14ac:dyDescent="0.45">
      <c r="K161">
        <v>77622.377139032033</v>
      </c>
    </row>
    <row r="162" spans="11:11" x14ac:dyDescent="0.45">
      <c r="K162">
        <v>86970.823868474385</v>
      </c>
    </row>
    <row r="163" spans="11:11" x14ac:dyDescent="0.45">
      <c r="K163">
        <v>73673.62439249715</v>
      </c>
    </row>
    <row r="164" spans="11:11" x14ac:dyDescent="0.45">
      <c r="K164">
        <v>78357.001850069588</v>
      </c>
    </row>
    <row r="165" spans="11:11" x14ac:dyDescent="0.45">
      <c r="K165">
        <v>81530.390784942792</v>
      </c>
    </row>
    <row r="166" spans="11:11" x14ac:dyDescent="0.45">
      <c r="K166">
        <v>76992.395364101598</v>
      </c>
    </row>
    <row r="167" spans="11:11" x14ac:dyDescent="0.45">
      <c r="K167">
        <v>92874.148292822167</v>
      </c>
    </row>
    <row r="168" spans="11:11" x14ac:dyDescent="0.45">
      <c r="K168">
        <v>61187.428563095273</v>
      </c>
    </row>
    <row r="169" spans="11:11" x14ac:dyDescent="0.45">
      <c r="K169">
        <v>74126.218200197662</v>
      </c>
    </row>
    <row r="170" spans="11:11" x14ac:dyDescent="0.45">
      <c r="K170">
        <v>75930.328123162006</v>
      </c>
    </row>
    <row r="171" spans="11:11" x14ac:dyDescent="0.45">
      <c r="K171">
        <v>76071.047061236153</v>
      </c>
    </row>
    <row r="172" spans="11:11" x14ac:dyDescent="0.45">
      <c r="K172">
        <v>83399.434485791586</v>
      </c>
    </row>
    <row r="173" spans="11:11" x14ac:dyDescent="0.45">
      <c r="K173">
        <v>70754.481197792164</v>
      </c>
    </row>
    <row r="174" spans="11:11" x14ac:dyDescent="0.45">
      <c r="K174">
        <v>71176.347743541977</v>
      </c>
    </row>
    <row r="175" spans="11:11" x14ac:dyDescent="0.45">
      <c r="K175">
        <v>88339.058646138641</v>
      </c>
    </row>
    <row r="176" spans="11:11" x14ac:dyDescent="0.45">
      <c r="K176">
        <v>81805.93394356448</v>
      </c>
    </row>
    <row r="177" spans="11:11" x14ac:dyDescent="0.45">
      <c r="K177">
        <v>75779.660557056457</v>
      </c>
    </row>
    <row r="178" spans="11:11" x14ac:dyDescent="0.45">
      <c r="K178">
        <v>63758.300036727822</v>
      </c>
    </row>
    <row r="179" spans="11:11" x14ac:dyDescent="0.45">
      <c r="K179">
        <v>63184.043434927065</v>
      </c>
    </row>
    <row r="180" spans="11:11" x14ac:dyDescent="0.45">
      <c r="K180">
        <v>94426.136656432762</v>
      </c>
    </row>
    <row r="181" spans="11:11" x14ac:dyDescent="0.45">
      <c r="K181">
        <v>69443.248823130649</v>
      </c>
    </row>
    <row r="182" spans="11:11" x14ac:dyDescent="0.45">
      <c r="K182">
        <v>69426.134913172151</v>
      </c>
    </row>
    <row r="183" spans="11:11" x14ac:dyDescent="0.45">
      <c r="K183">
        <v>54226.603541279721</v>
      </c>
    </row>
    <row r="184" spans="11:11" x14ac:dyDescent="0.45">
      <c r="K184">
        <v>66044.345888218435</v>
      </c>
    </row>
    <row r="185" spans="11:11" x14ac:dyDescent="0.45">
      <c r="K185">
        <v>79279.941138518669</v>
      </c>
    </row>
    <row r="186" spans="11:11" x14ac:dyDescent="0.45">
      <c r="K186">
        <v>70052.193261390363</v>
      </c>
    </row>
    <row r="187" spans="11:11" x14ac:dyDescent="0.45">
      <c r="K187">
        <v>84483.288996163465</v>
      </c>
    </row>
    <row r="188" spans="11:11" x14ac:dyDescent="0.45">
      <c r="K188">
        <v>75418.579456730644</v>
      </c>
    </row>
    <row r="189" spans="11:11" x14ac:dyDescent="0.45">
      <c r="K189">
        <v>79554.518252555106</v>
      </c>
    </row>
    <row r="190" spans="11:11" x14ac:dyDescent="0.45">
      <c r="K190">
        <v>80480.736895892129</v>
      </c>
    </row>
    <row r="191" spans="11:11" x14ac:dyDescent="0.45">
      <c r="K191">
        <v>67553.136648411921</v>
      </c>
    </row>
    <row r="192" spans="11:11" x14ac:dyDescent="0.45">
      <c r="K192">
        <v>74578.008488258478</v>
      </c>
    </row>
    <row r="193" spans="11:11" x14ac:dyDescent="0.45">
      <c r="K193">
        <v>77318.542056023085</v>
      </c>
    </row>
    <row r="194" spans="11:11" x14ac:dyDescent="0.45">
      <c r="K194">
        <v>74874.137786227468</v>
      </c>
    </row>
    <row r="195" spans="11:11" x14ac:dyDescent="0.45">
      <c r="K195">
        <v>76507.291284303064</v>
      </c>
    </row>
    <row r="196" spans="11:11" x14ac:dyDescent="0.45">
      <c r="K196">
        <v>69015.477932998794</v>
      </c>
    </row>
    <row r="197" spans="11:11" x14ac:dyDescent="0.45">
      <c r="K197">
        <v>75894.305811121681</v>
      </c>
    </row>
    <row r="198" spans="11:11" x14ac:dyDescent="0.45">
      <c r="K198">
        <v>83847.325519392674</v>
      </c>
    </row>
    <row r="199" spans="11:11" x14ac:dyDescent="0.45">
      <c r="K199">
        <v>80744.443840106411</v>
      </c>
    </row>
    <row r="200" spans="11:11" x14ac:dyDescent="0.45">
      <c r="K200">
        <v>61669.505117108063</v>
      </c>
    </row>
    <row r="201" spans="11:11" x14ac:dyDescent="0.45">
      <c r="K201">
        <v>75702.379093163749</v>
      </c>
    </row>
    <row r="202" spans="11:11" x14ac:dyDescent="0.45">
      <c r="K202">
        <v>65661.093323687557</v>
      </c>
    </row>
    <row r="203" spans="11:11" x14ac:dyDescent="0.45">
      <c r="K203">
        <v>72729.8998958054</v>
      </c>
    </row>
    <row r="204" spans="11:11" x14ac:dyDescent="0.45">
      <c r="K204">
        <v>61265.254009569791</v>
      </c>
    </row>
    <row r="205" spans="11:11" x14ac:dyDescent="0.45">
      <c r="K205">
        <v>106452.27387885179</v>
      </c>
    </row>
    <row r="206" spans="11:11" x14ac:dyDescent="0.45">
      <c r="K206">
        <v>78872.914788930138</v>
      </c>
    </row>
    <row r="207" spans="11:11" x14ac:dyDescent="0.45">
      <c r="K207">
        <v>66479.221561953542</v>
      </c>
    </row>
    <row r="208" spans="11:11" x14ac:dyDescent="0.45">
      <c r="K208">
        <v>66966.098132141255</v>
      </c>
    </row>
    <row r="209" spans="11:11" x14ac:dyDescent="0.45">
      <c r="K209">
        <v>87701.636667996907</v>
      </c>
    </row>
    <row r="210" spans="11:11" x14ac:dyDescent="0.45">
      <c r="K210">
        <v>103919.59556463969</v>
      </c>
    </row>
    <row r="211" spans="11:11" x14ac:dyDescent="0.45">
      <c r="K211">
        <v>68605.568330872513</v>
      </c>
    </row>
    <row r="212" spans="11:11" x14ac:dyDescent="0.45">
      <c r="K212">
        <v>63551.899355777357</v>
      </c>
    </row>
    <row r="213" spans="11:11" x14ac:dyDescent="0.45">
      <c r="K213">
        <v>50530.212962293706</v>
      </c>
    </row>
    <row r="214" spans="11:11" x14ac:dyDescent="0.45">
      <c r="K214">
        <v>86713.694299366907</v>
      </c>
    </row>
    <row r="215" spans="11:11" x14ac:dyDescent="0.45">
      <c r="K215">
        <v>74871.929831682064</v>
      </c>
    </row>
    <row r="216" spans="11:11" x14ac:dyDescent="0.45">
      <c r="K216">
        <v>68410.913915932819</v>
      </c>
    </row>
    <row r="217" spans="11:11" x14ac:dyDescent="0.45">
      <c r="K217">
        <v>76534.248925230335</v>
      </c>
    </row>
    <row r="218" spans="11:11" x14ac:dyDescent="0.45">
      <c r="K218">
        <v>72028.44378690263</v>
      </c>
    </row>
    <row r="219" spans="11:11" x14ac:dyDescent="0.45">
      <c r="K219">
        <v>69422.854424382575</v>
      </c>
    </row>
    <row r="220" spans="11:11" x14ac:dyDescent="0.45">
      <c r="K220">
        <v>72111.531086647607</v>
      </c>
    </row>
    <row r="221" spans="11:11" x14ac:dyDescent="0.45">
      <c r="K221">
        <v>75492.453226078185</v>
      </c>
    </row>
    <row r="222" spans="11:11" x14ac:dyDescent="0.45">
      <c r="K222">
        <v>58981.729479112386</v>
      </c>
    </row>
    <row r="223" spans="11:11" x14ac:dyDescent="0.45">
      <c r="K223">
        <v>105216.31718640859</v>
      </c>
    </row>
    <row r="224" spans="11:11" x14ac:dyDescent="0.45">
      <c r="K224">
        <v>72544.141433338038</v>
      </c>
    </row>
    <row r="225" spans="11:11" x14ac:dyDescent="0.45">
      <c r="K225">
        <v>66118.409930213995</v>
      </c>
    </row>
    <row r="226" spans="11:11" x14ac:dyDescent="0.45">
      <c r="K226">
        <v>78652.379468384388</v>
      </c>
    </row>
    <row r="227" spans="11:11" x14ac:dyDescent="0.45">
      <c r="K227">
        <v>76982.582494511589</v>
      </c>
    </row>
    <row r="228" spans="11:11" x14ac:dyDescent="0.45">
      <c r="K228">
        <v>71899.035005399594</v>
      </c>
    </row>
    <row r="229" spans="11:11" x14ac:dyDescent="0.45">
      <c r="K229">
        <v>54096.843983640734</v>
      </c>
    </row>
    <row r="230" spans="11:11" x14ac:dyDescent="0.45">
      <c r="K230">
        <v>85443.661034503588</v>
      </c>
    </row>
    <row r="231" spans="11:11" x14ac:dyDescent="0.45">
      <c r="K231">
        <v>87225.116377840954</v>
      </c>
    </row>
    <row r="232" spans="11:11" x14ac:dyDescent="0.45">
      <c r="K232">
        <v>97419.137654640028</v>
      </c>
    </row>
    <row r="233" spans="11:11" x14ac:dyDescent="0.45">
      <c r="K233">
        <v>61743.431861073987</v>
      </c>
    </row>
    <row r="234" spans="11:11" x14ac:dyDescent="0.45">
      <c r="K234">
        <v>78820.239282009454</v>
      </c>
    </row>
    <row r="235" spans="11:11" x14ac:dyDescent="0.45">
      <c r="K235">
        <v>91459.020475985657</v>
      </c>
    </row>
    <row r="236" spans="11:11" x14ac:dyDescent="0.45">
      <c r="K236">
        <v>70444.175571173604</v>
      </c>
    </row>
    <row r="237" spans="11:11" x14ac:dyDescent="0.45">
      <c r="K237">
        <v>67943.493055742714</v>
      </c>
    </row>
    <row r="238" spans="11:11" x14ac:dyDescent="0.45">
      <c r="K238">
        <v>76264.549663815473</v>
      </c>
    </row>
    <row r="239" spans="11:11" x14ac:dyDescent="0.45">
      <c r="K239">
        <v>57737.346307668799</v>
      </c>
    </row>
    <row r="240" spans="11:11" x14ac:dyDescent="0.45">
      <c r="K240">
        <v>70276.174440917181</v>
      </c>
    </row>
    <row r="241" spans="11:11" x14ac:dyDescent="0.45">
      <c r="K241">
        <v>93606.407893476193</v>
      </c>
    </row>
    <row r="242" spans="11:11" x14ac:dyDescent="0.45">
      <c r="K242">
        <v>70695.509715723034</v>
      </c>
    </row>
    <row r="243" spans="11:11" x14ac:dyDescent="0.45">
      <c r="K243">
        <v>65521.943715333713</v>
      </c>
    </row>
    <row r="244" spans="11:11" x14ac:dyDescent="0.45">
      <c r="K244">
        <v>57500.483274851278</v>
      </c>
    </row>
    <row r="245" spans="11:11" x14ac:dyDescent="0.45">
      <c r="K245">
        <v>92419.667276279972</v>
      </c>
    </row>
    <row r="246" spans="11:11" x14ac:dyDescent="0.45">
      <c r="K246">
        <v>60070.312811709315</v>
      </c>
    </row>
    <row r="247" spans="11:11" x14ac:dyDescent="0.45">
      <c r="K247">
        <v>79386.371266332833</v>
      </c>
    </row>
    <row r="248" spans="11:11" x14ac:dyDescent="0.45">
      <c r="K248">
        <v>69996.121459216782</v>
      </c>
    </row>
    <row r="249" spans="11:11" x14ac:dyDescent="0.45">
      <c r="K249">
        <v>69059.883813135195</v>
      </c>
    </row>
    <row r="250" spans="11:11" x14ac:dyDescent="0.45">
      <c r="K250">
        <v>53360.537092966006</v>
      </c>
    </row>
    <row r="251" spans="11:11" x14ac:dyDescent="0.45">
      <c r="K251">
        <v>91221.972247881218</v>
      </c>
    </row>
    <row r="252" spans="11:11" x14ac:dyDescent="0.45">
      <c r="K252">
        <v>60027.726729929229</v>
      </c>
    </row>
    <row r="253" spans="11:11" x14ac:dyDescent="0.45">
      <c r="K253">
        <v>46346.89942156319</v>
      </c>
    </row>
    <row r="254" spans="11:11" x14ac:dyDescent="0.45">
      <c r="K254">
        <v>68711.681659210604</v>
      </c>
    </row>
    <row r="255" spans="11:11" x14ac:dyDescent="0.45">
      <c r="K255">
        <v>70296.389165571571</v>
      </c>
    </row>
    <row r="256" spans="11:11" x14ac:dyDescent="0.45">
      <c r="K256">
        <v>43723.577976864639</v>
      </c>
    </row>
    <row r="257" spans="11:11" x14ac:dyDescent="0.45">
      <c r="K257">
        <v>81794.488316227202</v>
      </c>
    </row>
    <row r="258" spans="11:11" x14ac:dyDescent="0.45">
      <c r="K258">
        <v>104375.33145949403</v>
      </c>
    </row>
    <row r="259" spans="11:11" x14ac:dyDescent="0.45">
      <c r="K259">
        <v>70989.819401633387</v>
      </c>
    </row>
    <row r="260" spans="11:11" x14ac:dyDescent="0.45">
      <c r="K260">
        <v>68420.633346021117</v>
      </c>
    </row>
    <row r="261" spans="11:11" x14ac:dyDescent="0.45">
      <c r="K261">
        <v>59751.078116819859</v>
      </c>
    </row>
    <row r="262" spans="11:11" x14ac:dyDescent="0.45">
      <c r="K262">
        <v>53049.005468752162</v>
      </c>
    </row>
    <row r="263" spans="11:11" x14ac:dyDescent="0.45">
      <c r="K263">
        <v>78835.416385179269</v>
      </c>
    </row>
    <row r="264" spans="11:11" x14ac:dyDescent="0.45">
      <c r="K264">
        <v>63365.20487151196</v>
      </c>
    </row>
    <row r="265" spans="11:11" x14ac:dyDescent="0.45">
      <c r="K265">
        <v>70681.434050972501</v>
      </c>
    </row>
    <row r="266" spans="11:11" x14ac:dyDescent="0.45">
      <c r="K266">
        <v>49103.221445245901</v>
      </c>
    </row>
    <row r="267" spans="11:11" x14ac:dyDescent="0.45">
      <c r="K267">
        <v>102739.08659107158</v>
      </c>
    </row>
    <row r="268" spans="11:11" x14ac:dyDescent="0.45">
      <c r="K268">
        <v>73772.393102066533</v>
      </c>
    </row>
    <row r="269" spans="11:11" x14ac:dyDescent="0.45">
      <c r="K269">
        <v>76197.768062714356</v>
      </c>
    </row>
    <row r="270" spans="11:11" x14ac:dyDescent="0.45">
      <c r="K270">
        <v>79321.031292899323</v>
      </c>
    </row>
    <row r="271" spans="11:11" x14ac:dyDescent="0.45">
      <c r="K271">
        <v>80013.895412367303</v>
      </c>
    </row>
    <row r="272" spans="11:11" x14ac:dyDescent="0.45">
      <c r="K272">
        <v>85945.976480955447</v>
      </c>
    </row>
    <row r="273" spans="11:11" x14ac:dyDescent="0.45">
      <c r="K273">
        <v>89983.695054622614</v>
      </c>
    </row>
    <row r="274" spans="11:11" x14ac:dyDescent="0.45">
      <c r="K274">
        <v>85000.170348160231</v>
      </c>
    </row>
    <row r="275" spans="11:11" x14ac:dyDescent="0.45">
      <c r="K275">
        <v>74978.520038330636</v>
      </c>
    </row>
    <row r="276" spans="11:11" x14ac:dyDescent="0.45">
      <c r="K276">
        <v>77691.889687009869</v>
      </c>
    </row>
    <row r="277" spans="11:11" x14ac:dyDescent="0.45">
      <c r="K277">
        <v>77426.586000320938</v>
      </c>
    </row>
    <row r="278" spans="11:11" x14ac:dyDescent="0.45">
      <c r="K278">
        <v>69109.760019966547</v>
      </c>
    </row>
    <row r="279" spans="11:11" x14ac:dyDescent="0.45">
      <c r="K279">
        <v>83074.175128440897</v>
      </c>
    </row>
    <row r="280" spans="11:11" x14ac:dyDescent="0.45">
      <c r="K280">
        <v>80492.443136357906</v>
      </c>
    </row>
    <row r="281" spans="11:11" x14ac:dyDescent="0.45">
      <c r="K281">
        <v>88300.068629987538</v>
      </c>
    </row>
    <row r="282" spans="11:11" x14ac:dyDescent="0.45">
      <c r="K282">
        <v>77630.060816579818</v>
      </c>
    </row>
    <row r="283" spans="11:11" x14ac:dyDescent="0.45">
      <c r="K283">
        <v>56000.768163069297</v>
      </c>
    </row>
    <row r="284" spans="11:11" x14ac:dyDescent="0.45">
      <c r="K284">
        <v>72554.631201663491</v>
      </c>
    </row>
    <row r="285" spans="11:11" x14ac:dyDescent="0.45">
      <c r="K285">
        <v>77616.409584797744</v>
      </c>
    </row>
    <row r="286" spans="11:11" x14ac:dyDescent="0.45">
      <c r="K286">
        <v>76615.784537760206</v>
      </c>
    </row>
    <row r="287" spans="11:11" x14ac:dyDescent="0.45">
      <c r="K287">
        <v>50277.491467725187</v>
      </c>
    </row>
    <row r="288" spans="11:11" x14ac:dyDescent="0.45">
      <c r="K288">
        <v>72788.758775280308</v>
      </c>
    </row>
    <row r="289" spans="11:11" x14ac:dyDescent="0.45">
      <c r="K289">
        <v>54801.030509020449</v>
      </c>
    </row>
    <row r="290" spans="11:11" x14ac:dyDescent="0.45">
      <c r="K290">
        <v>69692.624193141659</v>
      </c>
    </row>
    <row r="291" spans="11:11" x14ac:dyDescent="0.45">
      <c r="K291">
        <v>77751.645505212437</v>
      </c>
    </row>
    <row r="292" spans="11:11" x14ac:dyDescent="0.45">
      <c r="K292">
        <v>85161.669639902204</v>
      </c>
    </row>
    <row r="293" spans="11:11" x14ac:dyDescent="0.45">
      <c r="K293">
        <v>64928.526458597436</v>
      </c>
    </row>
    <row r="294" spans="11:11" x14ac:dyDescent="0.45">
      <c r="K294">
        <v>80207.670739883004</v>
      </c>
    </row>
    <row r="295" spans="11:11" x14ac:dyDescent="0.45">
      <c r="K295">
        <v>79080.793253509837</v>
      </c>
    </row>
    <row r="296" spans="11:11" x14ac:dyDescent="0.45">
      <c r="K296">
        <v>59110.971164301314</v>
      </c>
    </row>
    <row r="297" spans="11:11" x14ac:dyDescent="0.45">
      <c r="K297">
        <v>75697.068767036355</v>
      </c>
    </row>
    <row r="298" spans="11:11" x14ac:dyDescent="0.45">
      <c r="K298">
        <v>83125.068588727474</v>
      </c>
    </row>
    <row r="299" spans="11:11" x14ac:dyDescent="0.45">
      <c r="K299">
        <v>60282.232929645848</v>
      </c>
    </row>
    <row r="300" spans="11:11" x14ac:dyDescent="0.45">
      <c r="K300">
        <v>55021.940469585388</v>
      </c>
    </row>
    <row r="301" spans="11:11" x14ac:dyDescent="0.45">
      <c r="K301">
        <v>65945.267970097339</v>
      </c>
    </row>
    <row r="302" spans="11:11" x14ac:dyDescent="0.45">
      <c r="K302">
        <v>71707.736609205764</v>
      </c>
    </row>
    <row r="303" spans="11:11" x14ac:dyDescent="0.45">
      <c r="K303">
        <v>81440.013853640063</v>
      </c>
    </row>
    <row r="304" spans="11:11" x14ac:dyDescent="0.45">
      <c r="K304">
        <v>83219.079122095049</v>
      </c>
    </row>
    <row r="305" spans="11:11" x14ac:dyDescent="0.45">
      <c r="K305">
        <v>63191.022556096214</v>
      </c>
    </row>
    <row r="306" spans="11:11" x14ac:dyDescent="0.45">
      <c r="K306">
        <v>66003.557214396133</v>
      </c>
    </row>
    <row r="307" spans="11:11" x14ac:dyDescent="0.45">
      <c r="K307">
        <v>90206.510691320655</v>
      </c>
    </row>
    <row r="308" spans="11:11" x14ac:dyDescent="0.45">
      <c r="K308">
        <v>89919.797826834983</v>
      </c>
    </row>
    <row r="309" spans="11:11" x14ac:dyDescent="0.45">
      <c r="K309">
        <v>70555.690286700978</v>
      </c>
    </row>
    <row r="310" spans="11:11" x14ac:dyDescent="0.45">
      <c r="K310">
        <v>56456.345404068954</v>
      </c>
    </row>
    <row r="311" spans="11:11" x14ac:dyDescent="0.45">
      <c r="K311">
        <v>70668.812857378449</v>
      </c>
    </row>
    <row r="312" spans="11:11" x14ac:dyDescent="0.45">
      <c r="K312">
        <v>97304.138566458569</v>
      </c>
    </row>
    <row r="313" spans="11:11" x14ac:dyDescent="0.45">
      <c r="K313">
        <v>69347.186595074643</v>
      </c>
    </row>
    <row r="314" spans="11:11" x14ac:dyDescent="0.45">
      <c r="K314">
        <v>82255.50628443624</v>
      </c>
    </row>
    <row r="315" spans="11:11" x14ac:dyDescent="0.45">
      <c r="K315">
        <v>48596.589479397378</v>
      </c>
    </row>
    <row r="316" spans="11:11" x14ac:dyDescent="0.45">
      <c r="K316">
        <v>63892.279699418476</v>
      </c>
    </row>
    <row r="317" spans="11:11" x14ac:dyDescent="0.45">
      <c r="K317">
        <v>75476.280176072178</v>
      </c>
    </row>
    <row r="318" spans="11:11" x14ac:dyDescent="0.45">
      <c r="K318">
        <v>59823.247978616513</v>
      </c>
    </row>
    <row r="319" spans="11:11" x14ac:dyDescent="0.45">
      <c r="K319">
        <v>48321.185798562408</v>
      </c>
    </row>
    <row r="320" spans="11:11" x14ac:dyDescent="0.45">
      <c r="K320">
        <v>76448.476837406895</v>
      </c>
    </row>
    <row r="321" spans="11:11" x14ac:dyDescent="0.45">
      <c r="K321">
        <v>87259.393071671526</v>
      </c>
    </row>
    <row r="322" spans="11:11" x14ac:dyDescent="0.45">
      <c r="K322">
        <v>81807.951842574708</v>
      </c>
    </row>
    <row r="323" spans="11:11" x14ac:dyDescent="0.45">
      <c r="K323">
        <v>53347.869671200548</v>
      </c>
    </row>
    <row r="324" spans="11:11" x14ac:dyDescent="0.45">
      <c r="K324">
        <v>60723.517748183993</v>
      </c>
    </row>
    <row r="325" spans="11:11" x14ac:dyDescent="0.45">
      <c r="K325">
        <v>80414.133180903387</v>
      </c>
    </row>
    <row r="326" spans="11:11" x14ac:dyDescent="0.45">
      <c r="K326">
        <v>72183.142357184741</v>
      </c>
    </row>
    <row r="327" spans="11:11" x14ac:dyDescent="0.45">
      <c r="K327">
        <v>80631.658797499229</v>
      </c>
    </row>
    <row r="328" spans="11:11" x14ac:dyDescent="0.45">
      <c r="K328">
        <v>73437.715704857445</v>
      </c>
    </row>
    <row r="329" spans="11:11" x14ac:dyDescent="0.45">
      <c r="K329">
        <v>90267.654307828416</v>
      </c>
    </row>
    <row r="330" spans="11:11" x14ac:dyDescent="0.45">
      <c r="K330">
        <v>72287.488019318233</v>
      </c>
    </row>
    <row r="331" spans="11:11" x14ac:dyDescent="0.45">
      <c r="K331">
        <v>80045.543165693089</v>
      </c>
    </row>
    <row r="332" spans="11:11" x14ac:dyDescent="0.45">
      <c r="K332">
        <v>81638.565245856487</v>
      </c>
    </row>
    <row r="333" spans="11:11" x14ac:dyDescent="0.45">
      <c r="K333">
        <v>68697.931452039236</v>
      </c>
    </row>
    <row r="334" spans="11:11" x14ac:dyDescent="0.45">
      <c r="K334">
        <v>89664.438089953823</v>
      </c>
    </row>
    <row r="335" spans="11:11" x14ac:dyDescent="0.45">
      <c r="K335">
        <v>77561.308678287402</v>
      </c>
    </row>
    <row r="336" spans="11:11" x14ac:dyDescent="0.45">
      <c r="K336">
        <v>63686.771009360491</v>
      </c>
    </row>
    <row r="337" spans="11:11" x14ac:dyDescent="0.45">
      <c r="K337">
        <v>57220.613386922058</v>
      </c>
    </row>
    <row r="338" spans="11:11" x14ac:dyDescent="0.45">
      <c r="K338">
        <v>72974.576160308759</v>
      </c>
    </row>
    <row r="339" spans="11:11" x14ac:dyDescent="0.45">
      <c r="K339">
        <v>57090.581216254686</v>
      </c>
    </row>
    <row r="340" spans="11:11" x14ac:dyDescent="0.45">
      <c r="K340">
        <v>49459.285571383072</v>
      </c>
    </row>
    <row r="341" spans="11:11" x14ac:dyDescent="0.45">
      <c r="K341">
        <v>56617.260584108473</v>
      </c>
    </row>
    <row r="342" spans="11:11" x14ac:dyDescent="0.45">
      <c r="K342">
        <v>80125.531697894359</v>
      </c>
    </row>
    <row r="343" spans="11:11" x14ac:dyDescent="0.45">
      <c r="K343">
        <v>78312.67265426759</v>
      </c>
    </row>
    <row r="344" spans="11:11" x14ac:dyDescent="0.45">
      <c r="K344">
        <v>87195.323779265091</v>
      </c>
    </row>
    <row r="345" spans="11:11" x14ac:dyDescent="0.45">
      <c r="K345">
        <v>64379.811601414884</v>
      </c>
    </row>
    <row r="346" spans="11:11" x14ac:dyDescent="0.45">
      <c r="K346">
        <v>68059.037406851872</v>
      </c>
    </row>
    <row r="347" spans="11:11" x14ac:dyDescent="0.45">
      <c r="K347">
        <v>61551.834516011288</v>
      </c>
    </row>
    <row r="348" spans="11:11" x14ac:dyDescent="0.45">
      <c r="K348">
        <v>69990.824897746599</v>
      </c>
    </row>
    <row r="349" spans="11:11" x14ac:dyDescent="0.45">
      <c r="K349">
        <v>64843.86024831071</v>
      </c>
    </row>
    <row r="350" spans="11:11" x14ac:dyDescent="0.45">
      <c r="K350">
        <v>85013.047930596047</v>
      </c>
    </row>
    <row r="351" spans="11:11" x14ac:dyDescent="0.45">
      <c r="K351">
        <v>74275.345670321069</v>
      </c>
    </row>
    <row r="352" spans="11:11" x14ac:dyDescent="0.45">
      <c r="K352">
        <v>88015.843230141327</v>
      </c>
    </row>
    <row r="353" spans="11:11" x14ac:dyDescent="0.45">
      <c r="K353">
        <v>41665.79396937447</v>
      </c>
    </row>
    <row r="354" spans="11:11" x14ac:dyDescent="0.45">
      <c r="K354">
        <v>63117.30780090714</v>
      </c>
    </row>
    <row r="355" spans="11:11" x14ac:dyDescent="0.45">
      <c r="K355">
        <v>64981.095078540347</v>
      </c>
    </row>
    <row r="356" spans="11:11" x14ac:dyDescent="0.45">
      <c r="K356">
        <v>57549.689359308075</v>
      </c>
    </row>
    <row r="357" spans="11:11" x14ac:dyDescent="0.45">
      <c r="K357">
        <v>70333.691274770841</v>
      </c>
    </row>
    <row r="358" spans="11:11" x14ac:dyDescent="0.45">
      <c r="K358">
        <v>83048.522368853446</v>
      </c>
    </row>
    <row r="359" spans="11:11" x14ac:dyDescent="0.45">
      <c r="K359">
        <v>67182.743481502708</v>
      </c>
    </row>
    <row r="360" spans="11:11" x14ac:dyDescent="0.45">
      <c r="K360">
        <v>91766.097533794076</v>
      </c>
    </row>
    <row r="361" spans="11:11" x14ac:dyDescent="0.45">
      <c r="K361">
        <v>61483.583166363685</v>
      </c>
    </row>
    <row r="362" spans="11:11" x14ac:dyDescent="0.45">
      <c r="K362">
        <v>74847.036062566709</v>
      </c>
    </row>
    <row r="363" spans="11:11" x14ac:dyDescent="0.45">
      <c r="K363">
        <v>56848.680431646069</v>
      </c>
    </row>
    <row r="364" spans="11:11" x14ac:dyDescent="0.45">
      <c r="K364">
        <v>69246.623563997739</v>
      </c>
    </row>
    <row r="365" spans="11:11" x14ac:dyDescent="0.45">
      <c r="K365">
        <v>71783.281481910613</v>
      </c>
    </row>
    <row r="366" spans="11:11" x14ac:dyDescent="0.45">
      <c r="K366">
        <v>78676.439470708181</v>
      </c>
    </row>
    <row r="367" spans="11:11" x14ac:dyDescent="0.45">
      <c r="K367">
        <v>56653.741366982285</v>
      </c>
    </row>
    <row r="368" spans="11:11" x14ac:dyDescent="0.45">
      <c r="K368">
        <v>83074.519312337783</v>
      </c>
    </row>
    <row r="369" spans="11:11" x14ac:dyDescent="0.45">
      <c r="K369">
        <v>59600.472711004317</v>
      </c>
    </row>
    <row r="370" spans="11:11" x14ac:dyDescent="0.45">
      <c r="K370">
        <v>71034.281562042743</v>
      </c>
    </row>
    <row r="371" spans="11:11" x14ac:dyDescent="0.45">
      <c r="K371">
        <v>75691.908830984496</v>
      </c>
    </row>
    <row r="372" spans="11:11" x14ac:dyDescent="0.45">
      <c r="K372">
        <v>84927.980979775297</v>
      </c>
    </row>
    <row r="373" spans="11:11" x14ac:dyDescent="0.45">
      <c r="K373">
        <v>77455.776885168394</v>
      </c>
    </row>
    <row r="374" spans="11:11" x14ac:dyDescent="0.45">
      <c r="K374">
        <v>52562.845875692707</v>
      </c>
    </row>
    <row r="375" spans="11:11" x14ac:dyDescent="0.45">
      <c r="K375">
        <v>66373.569460662315</v>
      </c>
    </row>
    <row r="376" spans="11:11" x14ac:dyDescent="0.45">
      <c r="K376">
        <v>91621.901004314306</v>
      </c>
    </row>
    <row r="377" spans="11:11" x14ac:dyDescent="0.45">
      <c r="K377">
        <v>79971.852147180136</v>
      </c>
    </row>
    <row r="378" spans="11:11" x14ac:dyDescent="0.45">
      <c r="K378">
        <v>84994.092455999751</v>
      </c>
    </row>
    <row r="379" spans="11:11" x14ac:dyDescent="0.45">
      <c r="K379">
        <v>74390.08274355621</v>
      </c>
    </row>
    <row r="380" spans="11:11" x14ac:dyDescent="0.45">
      <c r="K380">
        <v>87625.308951104977</v>
      </c>
    </row>
    <row r="381" spans="11:11" x14ac:dyDescent="0.45">
      <c r="K381">
        <v>65608.519256738189</v>
      </c>
    </row>
    <row r="382" spans="11:11" x14ac:dyDescent="0.45">
      <c r="K382">
        <v>73352.877896157006</v>
      </c>
    </row>
    <row r="383" spans="11:11" x14ac:dyDescent="0.45">
      <c r="K383">
        <v>66422.365824205059</v>
      </c>
    </row>
    <row r="384" spans="11:11" x14ac:dyDescent="0.45">
      <c r="K384">
        <v>83754.579106749195</v>
      </c>
    </row>
    <row r="385" spans="11:11" x14ac:dyDescent="0.45">
      <c r="K385">
        <v>91713.280001353269</v>
      </c>
    </row>
    <row r="386" spans="11:11" x14ac:dyDescent="0.45">
      <c r="K386">
        <v>69753.506710363799</v>
      </c>
    </row>
    <row r="387" spans="11:11" x14ac:dyDescent="0.45">
      <c r="K387">
        <v>84003.659517503169</v>
      </c>
    </row>
    <row r="388" spans="11:11" x14ac:dyDescent="0.45">
      <c r="K388">
        <v>69786.687076557821</v>
      </c>
    </row>
    <row r="389" spans="11:11" x14ac:dyDescent="0.45">
      <c r="K389">
        <v>46138.471983334886</v>
      </c>
    </row>
    <row r="390" spans="11:11" x14ac:dyDescent="0.45">
      <c r="K390">
        <v>54926.783930210797</v>
      </c>
    </row>
    <row r="391" spans="11:11" x14ac:dyDescent="0.45">
      <c r="K391">
        <v>80136.925620875598</v>
      </c>
    </row>
    <row r="392" spans="11:11" x14ac:dyDescent="0.45">
      <c r="K392">
        <v>87971.628288223161</v>
      </c>
    </row>
    <row r="393" spans="11:11" x14ac:dyDescent="0.45">
      <c r="K393">
        <v>59930.686198792064</v>
      </c>
    </row>
    <row r="394" spans="11:11" x14ac:dyDescent="0.45">
      <c r="K394">
        <v>67439.173450180067</v>
      </c>
    </row>
    <row r="395" spans="11:11" x14ac:dyDescent="0.45">
      <c r="K395">
        <v>99595.856852917568</v>
      </c>
    </row>
    <row r="396" spans="11:11" x14ac:dyDescent="0.45">
      <c r="K396">
        <v>63582.00339785526</v>
      </c>
    </row>
    <row r="397" spans="11:11" x14ac:dyDescent="0.45">
      <c r="K397">
        <v>58536.937219324056</v>
      </c>
    </row>
    <row r="398" spans="11:11" x14ac:dyDescent="0.45">
      <c r="K398">
        <v>58336.363205612826</v>
      </c>
    </row>
    <row r="399" spans="11:11" x14ac:dyDescent="0.45">
      <c r="K399">
        <v>85788.775997250879</v>
      </c>
    </row>
    <row r="400" spans="11:11" x14ac:dyDescent="0.45">
      <c r="K400">
        <v>54452.312918521631</v>
      </c>
    </row>
    <row r="401" spans="11:11" x14ac:dyDescent="0.45">
      <c r="K401">
        <v>70110.723740724003</v>
      </c>
    </row>
    <row r="402" spans="11:11" x14ac:dyDescent="0.45">
      <c r="K402">
        <v>63964.292513246655</v>
      </c>
    </row>
    <row r="403" spans="11:11" x14ac:dyDescent="0.45">
      <c r="K403">
        <v>91141.893274342656</v>
      </c>
    </row>
    <row r="404" spans="11:11" x14ac:dyDescent="0.45">
      <c r="K404">
        <v>92059.496186830991</v>
      </c>
    </row>
    <row r="405" spans="11:11" x14ac:dyDescent="0.45">
      <c r="K405">
        <v>70357.766576633803</v>
      </c>
    </row>
    <row r="406" spans="11:11" x14ac:dyDescent="0.45">
      <c r="K406">
        <v>73189.759189715682</v>
      </c>
    </row>
    <row r="407" spans="11:11" x14ac:dyDescent="0.45">
      <c r="K407">
        <v>77742.40164156456</v>
      </c>
    </row>
    <row r="408" spans="11:11" x14ac:dyDescent="0.45">
      <c r="K408">
        <v>62703.7959194328</v>
      </c>
    </row>
    <row r="409" spans="11:11" x14ac:dyDescent="0.45">
      <c r="K409">
        <v>67143.921633610807</v>
      </c>
    </row>
    <row r="410" spans="11:11" x14ac:dyDescent="0.45">
      <c r="K410">
        <v>80852.716558386121</v>
      </c>
    </row>
    <row r="411" spans="11:11" x14ac:dyDescent="0.45">
      <c r="K411">
        <v>91931.885748001194</v>
      </c>
    </row>
    <row r="412" spans="11:11" x14ac:dyDescent="0.45">
      <c r="K412">
        <v>72047.595766872415</v>
      </c>
    </row>
    <row r="413" spans="11:11" x14ac:dyDescent="0.45">
      <c r="K413">
        <v>80628.95787473442</v>
      </c>
    </row>
    <row r="414" spans="11:11" x14ac:dyDescent="0.45">
      <c r="K414">
        <v>79255.194762537663</v>
      </c>
    </row>
    <row r="415" spans="11:11" x14ac:dyDescent="0.45">
      <c r="K415">
        <v>60615.913409458422</v>
      </c>
    </row>
    <row r="416" spans="11:11" x14ac:dyDescent="0.45">
      <c r="K416">
        <v>81748.336481956678</v>
      </c>
    </row>
    <row r="417" spans="11:11" x14ac:dyDescent="0.45">
      <c r="K417">
        <v>78681.00883665077</v>
      </c>
    </row>
    <row r="418" spans="11:11" x14ac:dyDescent="0.45">
      <c r="K418">
        <v>101847.24367488363</v>
      </c>
    </row>
    <row r="419" spans="11:11" x14ac:dyDescent="0.45">
      <c r="K419">
        <v>74951.036045484769</v>
      </c>
    </row>
    <row r="420" spans="11:11" x14ac:dyDescent="0.45">
      <c r="K420">
        <v>81668.734591551824</v>
      </c>
    </row>
    <row r="421" spans="11:11" x14ac:dyDescent="0.45">
      <c r="K421">
        <v>69210.19504207412</v>
      </c>
    </row>
    <row r="422" spans="11:11" x14ac:dyDescent="0.45">
      <c r="K422">
        <v>68049.279933890619</v>
      </c>
    </row>
    <row r="423" spans="11:11" x14ac:dyDescent="0.45">
      <c r="K423">
        <v>58753.949773089371</v>
      </c>
    </row>
    <row r="424" spans="11:11" x14ac:dyDescent="0.45">
      <c r="K424">
        <v>54690.90824444501</v>
      </c>
    </row>
    <row r="425" spans="11:11" x14ac:dyDescent="0.45">
      <c r="K425">
        <v>64620.849652935562</v>
      </c>
    </row>
    <row r="426" spans="11:11" x14ac:dyDescent="0.45">
      <c r="K426">
        <v>61754.349280252944</v>
      </c>
    </row>
    <row r="427" spans="11:11" x14ac:dyDescent="0.45">
      <c r="K427">
        <v>72474.070014429977</v>
      </c>
    </row>
    <row r="428" spans="11:11" x14ac:dyDescent="0.45">
      <c r="K428">
        <v>59443.615746408577</v>
      </c>
    </row>
    <row r="429" spans="11:11" x14ac:dyDescent="0.45">
      <c r="K429">
        <v>76513.456879091347</v>
      </c>
    </row>
    <row r="430" spans="11:11" x14ac:dyDescent="0.45">
      <c r="K430">
        <v>67520.228057180779</v>
      </c>
    </row>
    <row r="431" spans="11:11" x14ac:dyDescent="0.45">
      <c r="K431">
        <v>80607.15629692559</v>
      </c>
    </row>
    <row r="432" spans="11:11" x14ac:dyDescent="0.45">
      <c r="K432">
        <v>88222.196069866914</v>
      </c>
    </row>
    <row r="433" spans="11:11" x14ac:dyDescent="0.45">
      <c r="K433">
        <v>46754.060014102135</v>
      </c>
    </row>
    <row r="434" spans="11:11" x14ac:dyDescent="0.45">
      <c r="K434">
        <v>70135.27935119452</v>
      </c>
    </row>
    <row r="435" spans="11:11" x14ac:dyDescent="0.45">
      <c r="K435">
        <v>81151.046173597351</v>
      </c>
    </row>
    <row r="436" spans="11:11" x14ac:dyDescent="0.45">
      <c r="K436">
        <v>77406.019340762796</v>
      </c>
    </row>
    <row r="437" spans="11:11" x14ac:dyDescent="0.45">
      <c r="K437">
        <v>66539.322564500733</v>
      </c>
    </row>
    <row r="438" spans="11:11" x14ac:dyDescent="0.45">
      <c r="K438">
        <v>68318.52851519204</v>
      </c>
    </row>
    <row r="439" spans="11:11" x14ac:dyDescent="0.45">
      <c r="K439">
        <v>64873.813369093812</v>
      </c>
    </row>
    <row r="440" spans="11:11" x14ac:dyDescent="0.45">
      <c r="K440">
        <v>81656.837090793124</v>
      </c>
    </row>
    <row r="441" spans="11:11" x14ac:dyDescent="0.45">
      <c r="K441">
        <v>75538.890101846613</v>
      </c>
    </row>
    <row r="442" spans="11:11" x14ac:dyDescent="0.45">
      <c r="K442">
        <v>64733.026090396328</v>
      </c>
    </row>
    <row r="443" spans="11:11" x14ac:dyDescent="0.45">
      <c r="K443">
        <v>81329.507348461178</v>
      </c>
    </row>
    <row r="444" spans="11:11" x14ac:dyDescent="0.45">
      <c r="K444">
        <v>68177.653627800799</v>
      </c>
    </row>
    <row r="445" spans="11:11" x14ac:dyDescent="0.45">
      <c r="K445">
        <v>68329.75094150161</v>
      </c>
    </row>
    <row r="446" spans="11:11" x14ac:dyDescent="0.45">
      <c r="K446">
        <v>44529.09934113569</v>
      </c>
    </row>
    <row r="447" spans="11:11" x14ac:dyDescent="0.45">
      <c r="K447">
        <v>66870.759120505259</v>
      </c>
    </row>
    <row r="448" spans="11:11" x14ac:dyDescent="0.45">
      <c r="K448">
        <v>66175.39923317662</v>
      </c>
    </row>
    <row r="449" spans="11:11" x14ac:dyDescent="0.45">
      <c r="K449">
        <v>70849.277202719808</v>
      </c>
    </row>
    <row r="450" spans="11:11" x14ac:dyDescent="0.45">
      <c r="K450">
        <v>83979.036785619377</v>
      </c>
    </row>
    <row r="451" spans="11:11" x14ac:dyDescent="0.45">
      <c r="K451">
        <v>63663.004095445889</v>
      </c>
    </row>
    <row r="452" spans="11:11" x14ac:dyDescent="0.45">
      <c r="K452">
        <v>71444.9521877933</v>
      </c>
    </row>
    <row r="453" spans="11:11" x14ac:dyDescent="0.45">
      <c r="K453">
        <v>78229.530619449099</v>
      </c>
    </row>
    <row r="454" spans="11:11" x14ac:dyDescent="0.45">
      <c r="K454">
        <v>83432.202108424855</v>
      </c>
    </row>
    <row r="455" spans="11:11" x14ac:dyDescent="0.45">
      <c r="K455">
        <v>67700.213253325303</v>
      </c>
    </row>
    <row r="456" spans="11:11" x14ac:dyDescent="0.45">
      <c r="K456">
        <v>80666.333816990678</v>
      </c>
    </row>
    <row r="457" spans="11:11" x14ac:dyDescent="0.45">
      <c r="K457">
        <v>72695.999247094107</v>
      </c>
    </row>
    <row r="458" spans="11:11" x14ac:dyDescent="0.45">
      <c r="K458">
        <v>69596.559972015457</v>
      </c>
    </row>
    <row r="459" spans="11:11" x14ac:dyDescent="0.45">
      <c r="K459">
        <v>61833.550973842051</v>
      </c>
    </row>
    <row r="460" spans="11:11" x14ac:dyDescent="0.45">
      <c r="K460">
        <v>66890.1361676448</v>
      </c>
    </row>
    <row r="461" spans="11:11" x14ac:dyDescent="0.45">
      <c r="K461">
        <v>69788.397629958985</v>
      </c>
    </row>
    <row r="462" spans="11:11" x14ac:dyDescent="0.45">
      <c r="K462">
        <v>62289.993545329053</v>
      </c>
    </row>
    <row r="463" spans="11:11" x14ac:dyDescent="0.45">
      <c r="K463">
        <v>77330.505600448494</v>
      </c>
    </row>
    <row r="464" spans="11:11" x14ac:dyDescent="0.45">
      <c r="K464">
        <v>74743.579297962293</v>
      </c>
    </row>
    <row r="465" spans="11:11" x14ac:dyDescent="0.45">
      <c r="K465">
        <v>71160.777823956669</v>
      </c>
    </row>
    <row r="466" spans="11:11" x14ac:dyDescent="0.45">
      <c r="K466">
        <v>70436.412014827991</v>
      </c>
    </row>
    <row r="467" spans="11:11" x14ac:dyDescent="0.45">
      <c r="K467">
        <v>45075.759058204188</v>
      </c>
    </row>
    <row r="468" spans="11:11" x14ac:dyDescent="0.45">
      <c r="K468">
        <v>80926.011416962327</v>
      </c>
    </row>
    <row r="469" spans="11:11" x14ac:dyDescent="0.45">
      <c r="K469">
        <v>59198.093102222934</v>
      </c>
    </row>
    <row r="470" spans="11:11" x14ac:dyDescent="0.45">
      <c r="K470">
        <v>74818.724351388941</v>
      </c>
    </row>
    <row r="471" spans="11:11" x14ac:dyDescent="0.45">
      <c r="K471">
        <v>52946.241839868046</v>
      </c>
    </row>
    <row r="472" spans="11:11" x14ac:dyDescent="0.45">
      <c r="K472">
        <v>70958.413199499206</v>
      </c>
    </row>
    <row r="473" spans="11:11" x14ac:dyDescent="0.45">
      <c r="K473">
        <v>82082.880721874229</v>
      </c>
    </row>
    <row r="474" spans="11:11" x14ac:dyDescent="0.45">
      <c r="K474">
        <v>71658.055288054253</v>
      </c>
    </row>
    <row r="475" spans="11:11" x14ac:dyDescent="0.45">
      <c r="K475">
        <v>92734.460750131591</v>
      </c>
    </row>
    <row r="476" spans="11:11" x14ac:dyDescent="0.45">
      <c r="K476">
        <v>29814.083447434401</v>
      </c>
    </row>
    <row r="477" spans="11:11" x14ac:dyDescent="0.45">
      <c r="K477">
        <v>55537.089674242321</v>
      </c>
    </row>
    <row r="478" spans="11:11" x14ac:dyDescent="0.45">
      <c r="K478">
        <v>66182.733927472087</v>
      </c>
    </row>
    <row r="479" spans="11:11" x14ac:dyDescent="0.45">
      <c r="K479">
        <v>59393.494553238677</v>
      </c>
    </row>
    <row r="480" spans="11:11" x14ac:dyDescent="0.45">
      <c r="K480">
        <v>74532.638984679521</v>
      </c>
    </row>
    <row r="481" spans="11:11" x14ac:dyDescent="0.45">
      <c r="K481">
        <v>55558.482226323205</v>
      </c>
    </row>
    <row r="482" spans="11:11" x14ac:dyDescent="0.45">
      <c r="K482">
        <v>94935.370523724006</v>
      </c>
    </row>
    <row r="483" spans="11:11" x14ac:dyDescent="0.45">
      <c r="K483">
        <v>82683.249835424329</v>
      </c>
    </row>
    <row r="484" spans="11:11" x14ac:dyDescent="0.45">
      <c r="K484">
        <v>54452.559006606825</v>
      </c>
    </row>
    <row r="485" spans="11:11" x14ac:dyDescent="0.45">
      <c r="K485">
        <v>61695.774402229043</v>
      </c>
    </row>
    <row r="486" spans="11:11" x14ac:dyDescent="0.45">
      <c r="K486">
        <v>53965.395206007495</v>
      </c>
    </row>
    <row r="487" spans="11:11" x14ac:dyDescent="0.45">
      <c r="K487">
        <v>59335.520057755661</v>
      </c>
    </row>
    <row r="488" spans="11:11" x14ac:dyDescent="0.45">
      <c r="K488">
        <v>49166.76149997524</v>
      </c>
    </row>
    <row r="489" spans="11:11" x14ac:dyDescent="0.45">
      <c r="K489">
        <v>66479.728273648507</v>
      </c>
    </row>
    <row r="490" spans="11:11" x14ac:dyDescent="0.45">
      <c r="K490">
        <v>53497.601224960017</v>
      </c>
    </row>
    <row r="491" spans="11:11" x14ac:dyDescent="0.45">
      <c r="K491">
        <v>62205.274030555331</v>
      </c>
    </row>
    <row r="492" spans="11:11" x14ac:dyDescent="0.45">
      <c r="K492">
        <v>71928.944255352704</v>
      </c>
    </row>
    <row r="493" spans="11:11" x14ac:dyDescent="0.45">
      <c r="K493">
        <v>66289.204002001425</v>
      </c>
    </row>
    <row r="494" spans="11:11" x14ac:dyDescent="0.45">
      <c r="K494">
        <v>71839.800602608695</v>
      </c>
    </row>
    <row r="495" spans="11:11" x14ac:dyDescent="0.45">
      <c r="K495">
        <v>81861.611457704188</v>
      </c>
    </row>
    <row r="496" spans="11:11" x14ac:dyDescent="0.45">
      <c r="K496">
        <v>52570.163884611466</v>
      </c>
    </row>
    <row r="497" spans="11:11" x14ac:dyDescent="0.45">
      <c r="K497">
        <v>83641.404274294473</v>
      </c>
    </row>
    <row r="498" spans="11:11" x14ac:dyDescent="0.45">
      <c r="K498">
        <v>75382.035739841784</v>
      </c>
    </row>
    <row r="499" spans="11:11" x14ac:dyDescent="0.45">
      <c r="K499">
        <v>82696.073991470228</v>
      </c>
    </row>
    <row r="500" spans="11:11" x14ac:dyDescent="0.45">
      <c r="K500">
        <v>78528.277820343326</v>
      </c>
    </row>
    <row r="501" spans="11:11" x14ac:dyDescent="0.45">
      <c r="K501">
        <v>51079.821549706059</v>
      </c>
    </row>
    <row r="502" spans="11:11" x14ac:dyDescent="0.45">
      <c r="K502">
        <v>90796.182638963248</v>
      </c>
    </row>
    <row r="503" spans="11:11" x14ac:dyDescent="0.45">
      <c r="K503">
        <v>83455.266902932432</v>
      </c>
    </row>
    <row r="504" spans="11:11" x14ac:dyDescent="0.45">
      <c r="K504">
        <v>66170.254973594143</v>
      </c>
    </row>
    <row r="505" spans="11:11" x14ac:dyDescent="0.45">
      <c r="K505">
        <v>67853.852895700082</v>
      </c>
    </row>
    <row r="506" spans="11:11" x14ac:dyDescent="0.45">
      <c r="K506">
        <v>78218.344506438138</v>
      </c>
    </row>
    <row r="507" spans="11:11" x14ac:dyDescent="0.45">
      <c r="K507">
        <v>76052.565611590908</v>
      </c>
    </row>
    <row r="508" spans="11:11" x14ac:dyDescent="0.45">
      <c r="K508">
        <v>70652.083536352686</v>
      </c>
    </row>
    <row r="509" spans="11:11" x14ac:dyDescent="0.45">
      <c r="K509">
        <v>80145.609754028192</v>
      </c>
    </row>
    <row r="510" spans="11:11" x14ac:dyDescent="0.45">
      <c r="K510">
        <v>63614.987706598622</v>
      </c>
    </row>
    <row r="511" spans="11:11" x14ac:dyDescent="0.45">
      <c r="K511">
        <v>79193.902830764826</v>
      </c>
    </row>
    <row r="512" spans="11:11" x14ac:dyDescent="0.45">
      <c r="K512">
        <v>74591.420155964195</v>
      </c>
    </row>
    <row r="513" spans="11:11" x14ac:dyDescent="0.45">
      <c r="K513">
        <v>61548.987412549242</v>
      </c>
    </row>
    <row r="514" spans="11:11" x14ac:dyDescent="0.45">
      <c r="K514">
        <v>54895.701543019626</v>
      </c>
    </row>
    <row r="515" spans="11:11" x14ac:dyDescent="0.45">
      <c r="K515">
        <v>87672.520839649675</v>
      </c>
    </row>
    <row r="516" spans="11:11" x14ac:dyDescent="0.45">
      <c r="K516">
        <v>74398.304597036287</v>
      </c>
    </row>
    <row r="517" spans="11:11" x14ac:dyDescent="0.45">
      <c r="K517">
        <v>71842.017588345698</v>
      </c>
    </row>
    <row r="518" spans="11:11" x14ac:dyDescent="0.45">
      <c r="K518">
        <v>74942.622159953666</v>
      </c>
    </row>
    <row r="519" spans="11:11" x14ac:dyDescent="0.45">
      <c r="K519">
        <v>93466.364234186156</v>
      </c>
    </row>
    <row r="520" spans="11:11" x14ac:dyDescent="0.45">
      <c r="K520">
        <v>64089.344806498208</v>
      </c>
    </row>
    <row r="521" spans="11:11" x14ac:dyDescent="0.45">
      <c r="K521">
        <v>64943.140102227568</v>
      </c>
    </row>
    <row r="522" spans="11:11" x14ac:dyDescent="0.45">
      <c r="K522">
        <v>84604.617202016758</v>
      </c>
    </row>
    <row r="523" spans="11:11" x14ac:dyDescent="0.45">
      <c r="K523">
        <v>82973.839292315068</v>
      </c>
    </row>
    <row r="524" spans="11:11" x14ac:dyDescent="0.45">
      <c r="K524">
        <v>67089.502710429762</v>
      </c>
    </row>
    <row r="525" spans="11:11" x14ac:dyDescent="0.45">
      <c r="K525">
        <v>85210.997438200022</v>
      </c>
    </row>
    <row r="526" spans="11:11" x14ac:dyDescent="0.45">
      <c r="K526">
        <v>65827.642720267308</v>
      </c>
    </row>
    <row r="527" spans="11:11" x14ac:dyDescent="0.45">
      <c r="K527">
        <v>68263.301534442609</v>
      </c>
    </row>
    <row r="528" spans="11:11" x14ac:dyDescent="0.45">
      <c r="K528">
        <v>68908.003116959619</v>
      </c>
    </row>
    <row r="529" spans="11:11" x14ac:dyDescent="0.45">
      <c r="K529">
        <v>77158.687154835963</v>
      </c>
    </row>
    <row r="530" spans="11:11" x14ac:dyDescent="0.45">
      <c r="K530">
        <v>73258.608404172148</v>
      </c>
    </row>
    <row r="531" spans="11:11" x14ac:dyDescent="0.45">
      <c r="K531">
        <v>79576.136233325698</v>
      </c>
    </row>
    <row r="532" spans="11:11" x14ac:dyDescent="0.45">
      <c r="K532">
        <v>69765.135665485301</v>
      </c>
    </row>
    <row r="533" spans="11:11" x14ac:dyDescent="0.45">
      <c r="K533">
        <v>90437.470912967328</v>
      </c>
    </row>
    <row r="534" spans="11:11" x14ac:dyDescent="0.45">
      <c r="K534">
        <v>64731.77769219684</v>
      </c>
    </row>
    <row r="535" spans="11:11" x14ac:dyDescent="0.45">
      <c r="K535">
        <v>61493.856167342834</v>
      </c>
    </row>
    <row r="536" spans="11:11" x14ac:dyDescent="0.45">
      <c r="K536">
        <v>67415.152571438681</v>
      </c>
    </row>
    <row r="537" spans="11:11" x14ac:dyDescent="0.45">
      <c r="K537">
        <v>94430.756123419313</v>
      </c>
    </row>
    <row r="538" spans="11:11" x14ac:dyDescent="0.45">
      <c r="K538">
        <v>71326.023440762074</v>
      </c>
    </row>
    <row r="539" spans="11:11" x14ac:dyDescent="0.45">
      <c r="K539">
        <v>90748.557102903578</v>
      </c>
    </row>
    <row r="540" spans="11:11" x14ac:dyDescent="0.45">
      <c r="K540">
        <v>79444.121744260337</v>
      </c>
    </row>
    <row r="541" spans="11:11" x14ac:dyDescent="0.45">
      <c r="K541">
        <v>70026.665320481421</v>
      </c>
    </row>
    <row r="542" spans="11:11" x14ac:dyDescent="0.45">
      <c r="K542">
        <v>87629.010866529978</v>
      </c>
    </row>
    <row r="543" spans="11:11" x14ac:dyDescent="0.45">
      <c r="K543">
        <v>58637.517041405437</v>
      </c>
    </row>
    <row r="544" spans="11:11" x14ac:dyDescent="0.45">
      <c r="K544">
        <v>76885.018900606403</v>
      </c>
    </row>
    <row r="545" spans="11:11" x14ac:dyDescent="0.45">
      <c r="K545">
        <v>85733.933775652564</v>
      </c>
    </row>
    <row r="546" spans="11:11" x14ac:dyDescent="0.45">
      <c r="K546">
        <v>83944.878917959373</v>
      </c>
    </row>
    <row r="547" spans="11:11" x14ac:dyDescent="0.45">
      <c r="K547">
        <v>77798.568226765565</v>
      </c>
    </row>
    <row r="548" spans="11:11" x14ac:dyDescent="0.45">
      <c r="K548">
        <v>90340.765230124409</v>
      </c>
    </row>
    <row r="549" spans="11:11" x14ac:dyDescent="0.45">
      <c r="K549">
        <v>73479.721677019406</v>
      </c>
    </row>
    <row r="550" spans="11:11" x14ac:dyDescent="0.45">
      <c r="K550">
        <v>81619.64807848366</v>
      </c>
    </row>
    <row r="551" spans="11:11" x14ac:dyDescent="0.45">
      <c r="K551">
        <v>70913.996529385302</v>
      </c>
    </row>
    <row r="552" spans="11:11" x14ac:dyDescent="0.45">
      <c r="K552">
        <v>79891.8544942671</v>
      </c>
    </row>
    <row r="553" spans="11:11" x14ac:dyDescent="0.45">
      <c r="K553">
        <v>46450.102102476696</v>
      </c>
    </row>
    <row r="554" spans="11:11" x14ac:dyDescent="0.45">
      <c r="K554">
        <v>67734.513452320869</v>
      </c>
    </row>
    <row r="555" spans="11:11" x14ac:dyDescent="0.45">
      <c r="K555">
        <v>76899.669512834284</v>
      </c>
    </row>
    <row r="556" spans="11:11" x14ac:dyDescent="0.45">
      <c r="K556">
        <v>80146.703230987725</v>
      </c>
    </row>
    <row r="557" spans="11:11" x14ac:dyDescent="0.45">
      <c r="K557">
        <v>75149.619923480946</v>
      </c>
    </row>
    <row r="558" spans="11:11" x14ac:dyDescent="0.45">
      <c r="K558">
        <v>78151.340051330146</v>
      </c>
    </row>
    <row r="559" spans="11:11" x14ac:dyDescent="0.45">
      <c r="K559">
        <v>89415.084285330566</v>
      </c>
    </row>
    <row r="560" spans="11:11" x14ac:dyDescent="0.45">
      <c r="K560">
        <v>74792.669436935874</v>
      </c>
    </row>
    <row r="561" spans="11:11" x14ac:dyDescent="0.45">
      <c r="K561">
        <v>85225.082534882284</v>
      </c>
    </row>
    <row r="562" spans="11:11" x14ac:dyDescent="0.45">
      <c r="K562">
        <v>89582.899410312908</v>
      </c>
    </row>
    <row r="563" spans="11:11" x14ac:dyDescent="0.45">
      <c r="K563">
        <v>70972.46521647193</v>
      </c>
    </row>
    <row r="564" spans="11:11" x14ac:dyDescent="0.45">
      <c r="K564">
        <v>81813.256259279355</v>
      </c>
    </row>
    <row r="565" spans="11:11" x14ac:dyDescent="0.45">
      <c r="K565">
        <v>48409.231537504849</v>
      </c>
    </row>
    <row r="566" spans="11:11" x14ac:dyDescent="0.45">
      <c r="K566">
        <v>53646.553418750547</v>
      </c>
    </row>
    <row r="567" spans="11:11" x14ac:dyDescent="0.45">
      <c r="K567">
        <v>94471.556854540715</v>
      </c>
    </row>
    <row r="568" spans="11:11" x14ac:dyDescent="0.45">
      <c r="K568">
        <v>55967.954994771142</v>
      </c>
    </row>
    <row r="569" spans="11:11" x14ac:dyDescent="0.45">
      <c r="K569">
        <v>99714.889797112322</v>
      </c>
    </row>
    <row r="570" spans="11:11" x14ac:dyDescent="0.45">
      <c r="K570">
        <v>93635.336305992416</v>
      </c>
    </row>
    <row r="571" spans="11:11" x14ac:dyDescent="0.45">
      <c r="K571">
        <v>82100.586612613581</v>
      </c>
    </row>
    <row r="572" spans="11:11" x14ac:dyDescent="0.45">
      <c r="K572">
        <v>83004.016918420893</v>
      </c>
    </row>
    <row r="573" spans="11:11" x14ac:dyDescent="0.45">
      <c r="K573">
        <v>61737.035206852248</v>
      </c>
    </row>
    <row r="574" spans="11:11" x14ac:dyDescent="0.45">
      <c r="K574">
        <v>80982.758485870552</v>
      </c>
    </row>
    <row r="575" spans="11:11" x14ac:dyDescent="0.45">
      <c r="K575">
        <v>89783.112818243841</v>
      </c>
    </row>
    <row r="576" spans="11:11" x14ac:dyDescent="0.45">
      <c r="K576">
        <v>99380.687487630057</v>
      </c>
    </row>
    <row r="577" spans="11:11" x14ac:dyDescent="0.45">
      <c r="K577">
        <v>66738.077974943168</v>
      </c>
    </row>
    <row r="578" spans="11:11" x14ac:dyDescent="0.45">
      <c r="K578">
        <v>72394.575215354853</v>
      </c>
    </row>
    <row r="579" spans="11:11" x14ac:dyDescent="0.45">
      <c r="K579">
        <v>74376.808297857569</v>
      </c>
    </row>
    <row r="580" spans="11:11" x14ac:dyDescent="0.45">
      <c r="K580">
        <v>73566.67922112676</v>
      </c>
    </row>
    <row r="581" spans="11:11" x14ac:dyDescent="0.45">
      <c r="K581">
        <v>71816.703619711334</v>
      </c>
    </row>
    <row r="582" spans="11:11" x14ac:dyDescent="0.45">
      <c r="K582">
        <v>73857.062948209234</v>
      </c>
    </row>
    <row r="583" spans="11:11" x14ac:dyDescent="0.45">
      <c r="K583">
        <v>102416.20485214314</v>
      </c>
    </row>
    <row r="584" spans="11:11" x14ac:dyDescent="0.45">
      <c r="K584">
        <v>70872.875716304945</v>
      </c>
    </row>
    <row r="585" spans="11:11" x14ac:dyDescent="0.45">
      <c r="K585">
        <v>58947.395219770013</v>
      </c>
    </row>
    <row r="586" spans="11:11" x14ac:dyDescent="0.45">
      <c r="K586">
        <v>52223.247849745254</v>
      </c>
    </row>
    <row r="587" spans="11:11" x14ac:dyDescent="0.45">
      <c r="K587">
        <v>70517.796065364906</v>
      </c>
    </row>
    <row r="588" spans="11:11" x14ac:dyDescent="0.45">
      <c r="K588">
        <v>63468.101316272638</v>
      </c>
    </row>
    <row r="589" spans="11:11" x14ac:dyDescent="0.45">
      <c r="K589">
        <v>78918.478688642659</v>
      </c>
    </row>
    <row r="590" spans="11:11" x14ac:dyDescent="0.45">
      <c r="K590">
        <v>71576.084403399625</v>
      </c>
    </row>
    <row r="591" spans="11:11" x14ac:dyDescent="0.45">
      <c r="K591">
        <v>72922.42655310822</v>
      </c>
    </row>
    <row r="592" spans="11:11" x14ac:dyDescent="0.45">
      <c r="K592">
        <v>79165.992999380265</v>
      </c>
    </row>
    <row r="593" spans="11:11" x14ac:dyDescent="0.45">
      <c r="K593">
        <v>77054.458210392462</v>
      </c>
    </row>
    <row r="594" spans="11:11" x14ac:dyDescent="0.45">
      <c r="K594">
        <v>82149.02711289555</v>
      </c>
    </row>
    <row r="595" spans="11:11" x14ac:dyDescent="0.45">
      <c r="K595">
        <v>76744.153824257126</v>
      </c>
    </row>
    <row r="596" spans="11:11" x14ac:dyDescent="0.45">
      <c r="K596">
        <v>52345.275801413933</v>
      </c>
    </row>
    <row r="597" spans="11:11" x14ac:dyDescent="0.45">
      <c r="K597">
        <v>81808.455521241427</v>
      </c>
    </row>
    <row r="598" spans="11:11" x14ac:dyDescent="0.45">
      <c r="K598">
        <v>89504.170542445325</v>
      </c>
    </row>
    <row r="599" spans="11:11" x14ac:dyDescent="0.45">
      <c r="K599">
        <v>67132.652066639304</v>
      </c>
    </row>
    <row r="600" spans="11:11" x14ac:dyDescent="0.45">
      <c r="K600">
        <v>77618.231558905652</v>
      </c>
    </row>
    <row r="601" spans="11:11" x14ac:dyDescent="0.45">
      <c r="K601">
        <v>85023.966511439095</v>
      </c>
    </row>
    <row r="602" spans="11:11" x14ac:dyDescent="0.45">
      <c r="K602">
        <v>72661.509022866332</v>
      </c>
    </row>
    <row r="603" spans="11:11" x14ac:dyDescent="0.45">
      <c r="K603">
        <v>72042.626833623668</v>
      </c>
    </row>
    <row r="604" spans="11:11" x14ac:dyDescent="0.45">
      <c r="K604">
        <v>103705.73841866778</v>
      </c>
    </row>
    <row r="605" spans="11:11" x14ac:dyDescent="0.45">
      <c r="K605">
        <v>67997.055306853377</v>
      </c>
    </row>
    <row r="606" spans="11:11" x14ac:dyDescent="0.45">
      <c r="K606">
        <v>68321.678973546776</v>
      </c>
    </row>
    <row r="607" spans="11:11" x14ac:dyDescent="0.45">
      <c r="K607">
        <v>76058.554273839618</v>
      </c>
    </row>
    <row r="608" spans="11:11" x14ac:dyDescent="0.45">
      <c r="K608">
        <v>80126.667588394368</v>
      </c>
    </row>
    <row r="609" spans="11:11" x14ac:dyDescent="0.45">
      <c r="K609">
        <v>69660.569907085737</v>
      </c>
    </row>
    <row r="610" spans="11:11" x14ac:dyDescent="0.45">
      <c r="K610">
        <v>72824.759642255784</v>
      </c>
    </row>
    <row r="611" spans="11:11" x14ac:dyDescent="0.45">
      <c r="K611">
        <v>95617.952645091631</v>
      </c>
    </row>
    <row r="612" spans="11:11" x14ac:dyDescent="0.45">
      <c r="K612">
        <v>76646.943736771005</v>
      </c>
    </row>
    <row r="613" spans="11:11" x14ac:dyDescent="0.45">
      <c r="K613">
        <v>43319.637281331932</v>
      </c>
    </row>
    <row r="614" spans="11:11" x14ac:dyDescent="0.45">
      <c r="K614">
        <v>69204.572327780843</v>
      </c>
    </row>
    <row r="615" spans="11:11" x14ac:dyDescent="0.45">
      <c r="K615">
        <v>88082.053884751658</v>
      </c>
    </row>
    <row r="616" spans="11:11" x14ac:dyDescent="0.45">
      <c r="K616">
        <v>83325.116130602109</v>
      </c>
    </row>
    <row r="617" spans="11:11" x14ac:dyDescent="0.45">
      <c r="K617">
        <v>70448.854188238722</v>
      </c>
    </row>
    <row r="618" spans="11:11" x14ac:dyDescent="0.45">
      <c r="K618">
        <v>72765.001641681156</v>
      </c>
    </row>
    <row r="619" spans="11:11" x14ac:dyDescent="0.45">
      <c r="K619">
        <v>76588.806647015968</v>
      </c>
    </row>
    <row r="620" spans="11:11" x14ac:dyDescent="0.45">
      <c r="K620">
        <v>56160.771236399931</v>
      </c>
    </row>
    <row r="621" spans="11:11" x14ac:dyDescent="0.45">
      <c r="K621">
        <v>74253.931014674919</v>
      </c>
    </row>
    <row r="622" spans="11:11" x14ac:dyDescent="0.45">
      <c r="K622">
        <v>88493.624676091364</v>
      </c>
    </row>
    <row r="623" spans="11:11" x14ac:dyDescent="0.45">
      <c r="K623">
        <v>70493.902497567178</v>
      </c>
    </row>
    <row r="624" spans="11:11" x14ac:dyDescent="0.45">
      <c r="K624">
        <v>77035.413830353442</v>
      </c>
    </row>
    <row r="625" spans="11:11" x14ac:dyDescent="0.45">
      <c r="K625">
        <v>53535.752773694912</v>
      </c>
    </row>
    <row r="626" spans="11:11" x14ac:dyDescent="0.45">
      <c r="K626">
        <v>111064.56883025763</v>
      </c>
    </row>
    <row r="627" spans="11:11" x14ac:dyDescent="0.45">
      <c r="K627">
        <v>66984.375387445878</v>
      </c>
    </row>
    <row r="628" spans="11:11" x14ac:dyDescent="0.45">
      <c r="K628">
        <v>62796.008837013738</v>
      </c>
    </row>
    <row r="629" spans="11:11" x14ac:dyDescent="0.45">
      <c r="K629">
        <v>80372.957690123018</v>
      </c>
    </row>
    <row r="630" spans="11:11" x14ac:dyDescent="0.45">
      <c r="K630">
        <v>83530.979194292042</v>
      </c>
    </row>
    <row r="631" spans="11:11" x14ac:dyDescent="0.45">
      <c r="K631">
        <v>71512.543088621038</v>
      </c>
    </row>
    <row r="632" spans="11:11" x14ac:dyDescent="0.45">
      <c r="K632">
        <v>73140.914281354446</v>
      </c>
    </row>
    <row r="633" spans="11:11" x14ac:dyDescent="0.45">
      <c r="K633">
        <v>53504.176697993666</v>
      </c>
    </row>
    <row r="634" spans="11:11" x14ac:dyDescent="0.45">
      <c r="K634">
        <v>46987.648099068727</v>
      </c>
    </row>
    <row r="635" spans="11:11" x14ac:dyDescent="0.45">
      <c r="K635">
        <v>89142.267300173058</v>
      </c>
    </row>
    <row r="636" spans="11:11" x14ac:dyDescent="0.45">
      <c r="K636">
        <v>72992.446274391521</v>
      </c>
    </row>
    <row r="637" spans="11:11" x14ac:dyDescent="0.45">
      <c r="K637">
        <v>68731.06151604878</v>
      </c>
    </row>
    <row r="638" spans="11:11" x14ac:dyDescent="0.45">
      <c r="K638">
        <v>70208.635759458033</v>
      </c>
    </row>
    <row r="639" spans="11:11" x14ac:dyDescent="0.45">
      <c r="K639">
        <v>74877.287225321532</v>
      </c>
    </row>
    <row r="640" spans="11:11" x14ac:dyDescent="0.45">
      <c r="K640">
        <v>81881.970796101145</v>
      </c>
    </row>
    <row r="641" spans="11:11" x14ac:dyDescent="0.45">
      <c r="K641">
        <v>72713.737273113104</v>
      </c>
    </row>
    <row r="642" spans="11:11" x14ac:dyDescent="0.45">
      <c r="K642">
        <v>77618.359108574441</v>
      </c>
    </row>
    <row r="643" spans="11:11" x14ac:dyDescent="0.45">
      <c r="K643">
        <v>78964.249740022147</v>
      </c>
    </row>
    <row r="644" spans="11:11" x14ac:dyDescent="0.45">
      <c r="K644">
        <v>91691.841976840253</v>
      </c>
    </row>
    <row r="645" spans="11:11" x14ac:dyDescent="0.45">
      <c r="K645">
        <v>81862.866136464814</v>
      </c>
    </row>
    <row r="646" spans="11:11" x14ac:dyDescent="0.45">
      <c r="K646">
        <v>61668.391567964958</v>
      </c>
    </row>
    <row r="647" spans="11:11" x14ac:dyDescent="0.45">
      <c r="K647">
        <v>87343.111185264221</v>
      </c>
    </row>
    <row r="648" spans="11:11" x14ac:dyDescent="0.45">
      <c r="K648">
        <v>70099.853850104468</v>
      </c>
    </row>
    <row r="649" spans="11:11" x14ac:dyDescent="0.45">
      <c r="K649">
        <v>93855.05248345132</v>
      </c>
    </row>
    <row r="650" spans="11:11" x14ac:dyDescent="0.45">
      <c r="K650">
        <v>75540.175954224003</v>
      </c>
    </row>
    <row r="651" spans="11:11" x14ac:dyDescent="0.45">
      <c r="K651">
        <v>72075.216082328276</v>
      </c>
    </row>
    <row r="652" spans="11:11" x14ac:dyDescent="0.45">
      <c r="K652">
        <v>68967.995940970446</v>
      </c>
    </row>
    <row r="653" spans="11:11" x14ac:dyDescent="0.45">
      <c r="K653">
        <v>62838.186553753978</v>
      </c>
    </row>
    <row r="654" spans="11:11" x14ac:dyDescent="0.45">
      <c r="K654">
        <v>75041.441949987493</v>
      </c>
    </row>
    <row r="655" spans="11:11" x14ac:dyDescent="0.45">
      <c r="K655">
        <v>77576.332680960244</v>
      </c>
    </row>
    <row r="656" spans="11:11" x14ac:dyDescent="0.45">
      <c r="K656">
        <v>70104.497992739867</v>
      </c>
    </row>
    <row r="657" spans="11:11" x14ac:dyDescent="0.45">
      <c r="K657">
        <v>63831.941887190689</v>
      </c>
    </row>
    <row r="658" spans="11:11" x14ac:dyDescent="0.45">
      <c r="K658">
        <v>56751.114722676939</v>
      </c>
    </row>
    <row r="659" spans="11:11" x14ac:dyDescent="0.45">
      <c r="K659">
        <v>72056.663427293897</v>
      </c>
    </row>
    <row r="660" spans="11:11" x14ac:dyDescent="0.45">
      <c r="K660">
        <v>59704.668821249703</v>
      </c>
    </row>
    <row r="661" spans="11:11" x14ac:dyDescent="0.45">
      <c r="K661">
        <v>50986.644966051303</v>
      </c>
    </row>
    <row r="662" spans="11:11" x14ac:dyDescent="0.45">
      <c r="K662">
        <v>69845.88944232832</v>
      </c>
    </row>
    <row r="663" spans="11:11" x14ac:dyDescent="0.45">
      <c r="K663">
        <v>70395.899395592671</v>
      </c>
    </row>
    <row r="664" spans="11:11" x14ac:dyDescent="0.45">
      <c r="K664">
        <v>79121.266139009924</v>
      </c>
    </row>
    <row r="665" spans="11:11" x14ac:dyDescent="0.45">
      <c r="K665">
        <v>91995.738991911348</v>
      </c>
    </row>
    <row r="666" spans="11:11" x14ac:dyDescent="0.45">
      <c r="K666">
        <v>61763.457415434808</v>
      </c>
    </row>
    <row r="667" spans="11:11" x14ac:dyDescent="0.45">
      <c r="K667">
        <v>67351.400378212784</v>
      </c>
    </row>
    <row r="668" spans="11:11" x14ac:dyDescent="0.45">
      <c r="K668">
        <v>67534.759060165365</v>
      </c>
    </row>
    <row r="669" spans="11:11" x14ac:dyDescent="0.45">
      <c r="K669">
        <v>93923.71745315865</v>
      </c>
    </row>
    <row r="670" spans="11:11" x14ac:dyDescent="0.45">
      <c r="K670">
        <v>60638.359658682886</v>
      </c>
    </row>
    <row r="671" spans="11:11" x14ac:dyDescent="0.45">
      <c r="K671">
        <v>54125.127681664679</v>
      </c>
    </row>
    <row r="672" spans="11:11" x14ac:dyDescent="0.45">
      <c r="K672">
        <v>66365.501189741844</v>
      </c>
    </row>
    <row r="673" spans="11:11" x14ac:dyDescent="0.45">
      <c r="K673">
        <v>45907.094389885562</v>
      </c>
    </row>
    <row r="674" spans="11:11" x14ac:dyDescent="0.45">
      <c r="K674">
        <v>44567.043609487264</v>
      </c>
    </row>
    <row r="675" spans="11:11" x14ac:dyDescent="0.45">
      <c r="K675">
        <v>64887.950595882066</v>
      </c>
    </row>
    <row r="676" spans="11:11" x14ac:dyDescent="0.45">
      <c r="K676">
        <v>60693.049578351987</v>
      </c>
    </row>
    <row r="677" spans="11:11" x14ac:dyDescent="0.45">
      <c r="K677">
        <v>71302.541011727953</v>
      </c>
    </row>
    <row r="678" spans="11:11" x14ac:dyDescent="0.45">
      <c r="K678">
        <v>70838.74428472812</v>
      </c>
    </row>
    <row r="679" spans="11:11" x14ac:dyDescent="0.45">
      <c r="K679">
        <v>76412.195012717362</v>
      </c>
    </row>
    <row r="680" spans="11:11" x14ac:dyDescent="0.45">
      <c r="K680">
        <v>78418.966408244596</v>
      </c>
    </row>
    <row r="681" spans="11:11" x14ac:dyDescent="0.45">
      <c r="K681">
        <v>97139.684114004413</v>
      </c>
    </row>
    <row r="682" spans="11:11" x14ac:dyDescent="0.45">
      <c r="K682">
        <v>85280.739750936686</v>
      </c>
    </row>
    <row r="683" spans="11:11" x14ac:dyDescent="0.45">
      <c r="K683">
        <v>67544.631661844847</v>
      </c>
    </row>
    <row r="684" spans="11:11" x14ac:dyDescent="0.45">
      <c r="K684">
        <v>30709.465981630005</v>
      </c>
    </row>
    <row r="685" spans="11:11" x14ac:dyDescent="0.45">
      <c r="K685">
        <v>56963.710806333955</v>
      </c>
    </row>
    <row r="686" spans="11:11" x14ac:dyDescent="0.45">
      <c r="K686">
        <v>67800.668801013497</v>
      </c>
    </row>
    <row r="687" spans="11:11" x14ac:dyDescent="0.45">
      <c r="K687">
        <v>85020.502433150978</v>
      </c>
    </row>
    <row r="688" spans="11:11" x14ac:dyDescent="0.45">
      <c r="K688">
        <v>66115.855932460152</v>
      </c>
    </row>
    <row r="689" spans="11:11" x14ac:dyDescent="0.45">
      <c r="K689">
        <v>73471.620616843313</v>
      </c>
    </row>
    <row r="690" spans="11:11" x14ac:dyDescent="0.45">
      <c r="K690">
        <v>96957.420200323308</v>
      </c>
    </row>
    <row r="691" spans="11:11" x14ac:dyDescent="0.45">
      <c r="K691">
        <v>65483.64995271396</v>
      </c>
    </row>
    <row r="692" spans="11:11" x14ac:dyDescent="0.45">
      <c r="K692">
        <v>60859.943917638004</v>
      </c>
    </row>
    <row r="693" spans="11:11" x14ac:dyDescent="0.45">
      <c r="K693">
        <v>68502.170617762706</v>
      </c>
    </row>
    <row r="694" spans="11:11" x14ac:dyDescent="0.45">
      <c r="K694">
        <v>67581.658825008577</v>
      </c>
    </row>
    <row r="695" spans="11:11" x14ac:dyDescent="0.45">
      <c r="K695">
        <v>61821.60915237802</v>
      </c>
    </row>
    <row r="696" spans="11:11" x14ac:dyDescent="0.45">
      <c r="K696">
        <v>57530.215143409267</v>
      </c>
    </row>
    <row r="697" spans="11:11" x14ac:dyDescent="0.45">
      <c r="K697">
        <v>66497.316118675371</v>
      </c>
    </row>
    <row r="698" spans="11:11" x14ac:dyDescent="0.45">
      <c r="K698">
        <v>77001.10910085839</v>
      </c>
    </row>
    <row r="699" spans="11:11" x14ac:dyDescent="0.45">
      <c r="K699">
        <v>62424.762841940414</v>
      </c>
    </row>
    <row r="700" spans="11:11" x14ac:dyDescent="0.45">
      <c r="K700">
        <v>64917.699399445875</v>
      </c>
    </row>
    <row r="701" spans="11:11" x14ac:dyDescent="0.45">
      <c r="K701">
        <v>79760.335958353899</v>
      </c>
    </row>
    <row r="702" spans="11:11" x14ac:dyDescent="0.45">
      <c r="K702">
        <v>60888.840086913973</v>
      </c>
    </row>
    <row r="703" spans="11:11" x14ac:dyDescent="0.45">
      <c r="K703">
        <v>42740.029475843978</v>
      </c>
    </row>
    <row r="704" spans="11:11" x14ac:dyDescent="0.45">
      <c r="K704">
        <v>85615.750724618396</v>
      </c>
    </row>
    <row r="705" spans="11:11" x14ac:dyDescent="0.45">
      <c r="K705">
        <v>65275.018188391012</v>
      </c>
    </row>
    <row r="706" spans="11:11" x14ac:dyDescent="0.45">
      <c r="K706">
        <v>76842.489270617036</v>
      </c>
    </row>
    <row r="707" spans="11:11" x14ac:dyDescent="0.45">
      <c r="K707">
        <v>91536.603861879237</v>
      </c>
    </row>
    <row r="708" spans="11:11" x14ac:dyDescent="0.45">
      <c r="K708">
        <v>82600.211238781732</v>
      </c>
    </row>
    <row r="709" spans="11:11" x14ac:dyDescent="0.45">
      <c r="K709">
        <v>72362.966811289763</v>
      </c>
    </row>
    <row r="710" spans="11:11" x14ac:dyDescent="0.45">
      <c r="K710">
        <v>71532.007560064856</v>
      </c>
    </row>
    <row r="711" spans="11:11" x14ac:dyDescent="0.45">
      <c r="K711">
        <v>105160.67812546468</v>
      </c>
    </row>
    <row r="712" spans="11:11" x14ac:dyDescent="0.45">
      <c r="K712">
        <v>73215.283232839342</v>
      </c>
    </row>
    <row r="713" spans="11:11" x14ac:dyDescent="0.45">
      <c r="K713">
        <v>61785.664596505121</v>
      </c>
    </row>
    <row r="714" spans="11:11" x14ac:dyDescent="0.45">
      <c r="K714">
        <v>90514.999104100832</v>
      </c>
    </row>
    <row r="715" spans="11:11" x14ac:dyDescent="0.45">
      <c r="K715">
        <v>72928.168236142534</v>
      </c>
    </row>
    <row r="716" spans="11:11" x14ac:dyDescent="0.45">
      <c r="K716">
        <v>81580.131985834305</v>
      </c>
    </row>
    <row r="717" spans="11:11" x14ac:dyDescent="0.45">
      <c r="K717">
        <v>85612.219054002548</v>
      </c>
    </row>
    <row r="718" spans="11:11" x14ac:dyDescent="0.45">
      <c r="K718">
        <v>64222.546108607217</v>
      </c>
    </row>
    <row r="719" spans="11:11" x14ac:dyDescent="0.45">
      <c r="K719">
        <v>89052.936747544183</v>
      </c>
    </row>
    <row r="720" spans="11:11" x14ac:dyDescent="0.45">
      <c r="K720">
        <v>87365.005096127905</v>
      </c>
    </row>
    <row r="721" spans="11:11" x14ac:dyDescent="0.45">
      <c r="K721">
        <v>75795.596260715174</v>
      </c>
    </row>
    <row r="722" spans="11:11" x14ac:dyDescent="0.45">
      <c r="K722">
        <v>64859.27298155216</v>
      </c>
    </row>
    <row r="723" spans="11:11" x14ac:dyDescent="0.45">
      <c r="K723">
        <v>74702.194934277868</v>
      </c>
    </row>
    <row r="724" spans="11:11" x14ac:dyDescent="0.45">
      <c r="K724">
        <v>81935.197702128615</v>
      </c>
    </row>
    <row r="725" spans="11:11" x14ac:dyDescent="0.45">
      <c r="K725">
        <v>80441.541827984343</v>
      </c>
    </row>
    <row r="726" spans="11:11" x14ac:dyDescent="0.45">
      <c r="K726">
        <v>91273.812208866293</v>
      </c>
    </row>
    <row r="727" spans="11:11" x14ac:dyDescent="0.45">
      <c r="K727">
        <v>59370.274006377724</v>
      </c>
    </row>
    <row r="728" spans="11:11" x14ac:dyDescent="0.45">
      <c r="K728">
        <v>91241.638843718072</v>
      </c>
    </row>
    <row r="729" spans="11:11" x14ac:dyDescent="0.45">
      <c r="K729">
        <v>97928.022125137984</v>
      </c>
    </row>
    <row r="730" spans="11:11" x14ac:dyDescent="0.45">
      <c r="K730">
        <v>49114.268093507817</v>
      </c>
    </row>
    <row r="731" spans="11:11" x14ac:dyDescent="0.45">
      <c r="K731">
        <v>75683.778581285107</v>
      </c>
    </row>
    <row r="732" spans="11:11" x14ac:dyDescent="0.45">
      <c r="K732">
        <v>64130.708944767655</v>
      </c>
    </row>
    <row r="733" spans="11:11" x14ac:dyDescent="0.45">
      <c r="K733">
        <v>77808.109840455611</v>
      </c>
    </row>
    <row r="734" spans="11:11" x14ac:dyDescent="0.45">
      <c r="K734">
        <v>70607.425397080748</v>
      </c>
    </row>
    <row r="735" spans="11:11" x14ac:dyDescent="0.45">
      <c r="K735">
        <v>53725.880313182744</v>
      </c>
    </row>
    <row r="736" spans="11:11" x14ac:dyDescent="0.45">
      <c r="K736">
        <v>51309.804004179445</v>
      </c>
    </row>
    <row r="737" spans="11:11" x14ac:dyDescent="0.45">
      <c r="K737">
        <v>75608.962903365667</v>
      </c>
    </row>
    <row r="738" spans="11:11" x14ac:dyDescent="0.45">
      <c r="K738">
        <v>97458.115707252931</v>
      </c>
    </row>
    <row r="739" spans="11:11" x14ac:dyDescent="0.45">
      <c r="K739">
        <v>78843.549212127371</v>
      </c>
    </row>
    <row r="740" spans="11:11" x14ac:dyDescent="0.45">
      <c r="K740">
        <v>71580.29528535674</v>
      </c>
    </row>
    <row r="741" spans="11:11" x14ac:dyDescent="0.45">
      <c r="K741">
        <v>62767.791705690295</v>
      </c>
    </row>
    <row r="742" spans="11:11" x14ac:dyDescent="0.45">
      <c r="K742">
        <v>60040.861776032696</v>
      </c>
    </row>
    <row r="743" spans="11:11" x14ac:dyDescent="0.45">
      <c r="K743">
        <v>71581.597749742345</v>
      </c>
    </row>
    <row r="744" spans="11:11" x14ac:dyDescent="0.45">
      <c r="K744">
        <v>62613.387120850384</v>
      </c>
    </row>
    <row r="745" spans="11:11" x14ac:dyDescent="0.45">
      <c r="K745">
        <v>87328.607414401558</v>
      </c>
    </row>
    <row r="746" spans="11:11" x14ac:dyDescent="0.45">
      <c r="K746">
        <v>62624.182901992099</v>
      </c>
    </row>
    <row r="747" spans="11:11" x14ac:dyDescent="0.45">
      <c r="K747">
        <v>82108.874284160891</v>
      </c>
    </row>
    <row r="748" spans="11:11" x14ac:dyDescent="0.45">
      <c r="K748">
        <v>72207.47571742571</v>
      </c>
    </row>
    <row r="749" spans="11:11" x14ac:dyDescent="0.45">
      <c r="K749">
        <v>70366.620802513498</v>
      </c>
    </row>
    <row r="750" spans="11:11" x14ac:dyDescent="0.45">
      <c r="K750">
        <v>60535.983349059861</v>
      </c>
    </row>
    <row r="751" spans="11:11" x14ac:dyDescent="0.45">
      <c r="K751">
        <v>56857.707399164181</v>
      </c>
    </row>
    <row r="752" spans="11:11" x14ac:dyDescent="0.45">
      <c r="K752">
        <v>93793.763409616018</v>
      </c>
    </row>
    <row r="753" spans="11:11" x14ac:dyDescent="0.45">
      <c r="K753">
        <v>63824.60286683256</v>
      </c>
    </row>
    <row r="754" spans="11:11" x14ac:dyDescent="0.45">
      <c r="K754">
        <v>81782.547592789604</v>
      </c>
    </row>
    <row r="755" spans="11:11" x14ac:dyDescent="0.45">
      <c r="K755">
        <v>81250.622940647459</v>
      </c>
    </row>
    <row r="756" spans="11:11" x14ac:dyDescent="0.45">
      <c r="K756">
        <v>87852.566276512516</v>
      </c>
    </row>
    <row r="757" spans="11:11" x14ac:dyDescent="0.45">
      <c r="K757">
        <v>72139.856813879509</v>
      </c>
    </row>
    <row r="758" spans="11:11" x14ac:dyDescent="0.45">
      <c r="K758">
        <v>68880.207686707465</v>
      </c>
    </row>
    <row r="759" spans="11:11" x14ac:dyDescent="0.45">
      <c r="K759">
        <v>75205.833951124136</v>
      </c>
    </row>
    <row r="760" spans="11:11" x14ac:dyDescent="0.45">
      <c r="K760">
        <v>71232.794001733244</v>
      </c>
    </row>
    <row r="761" spans="11:11" x14ac:dyDescent="0.45">
      <c r="K761">
        <v>63381.906244849692</v>
      </c>
    </row>
    <row r="762" spans="11:11" x14ac:dyDescent="0.45">
      <c r="K762">
        <v>80327.08289628831</v>
      </c>
    </row>
    <row r="763" spans="11:11" x14ac:dyDescent="0.45">
      <c r="K763">
        <v>73144.919896834515</v>
      </c>
    </row>
    <row r="764" spans="11:11" x14ac:dyDescent="0.45">
      <c r="K764">
        <v>68929.535116876388</v>
      </c>
    </row>
    <row r="765" spans="11:11" x14ac:dyDescent="0.45">
      <c r="K765">
        <v>79028.894636752375</v>
      </c>
    </row>
    <row r="766" spans="11:11" x14ac:dyDescent="0.45">
      <c r="K766">
        <v>69400.099725135442</v>
      </c>
    </row>
    <row r="767" spans="11:11" x14ac:dyDescent="0.45">
      <c r="K767">
        <v>76789.037439835549</v>
      </c>
    </row>
    <row r="768" spans="11:11" x14ac:dyDescent="0.45">
      <c r="K768">
        <v>94892.058439459681</v>
      </c>
    </row>
    <row r="769" spans="11:11" x14ac:dyDescent="0.45">
      <c r="K769">
        <v>86746.327557414435</v>
      </c>
    </row>
    <row r="770" spans="11:11" x14ac:dyDescent="0.45">
      <c r="K770">
        <v>63135.311796224312</v>
      </c>
    </row>
    <row r="771" spans="11:11" x14ac:dyDescent="0.45">
      <c r="K771">
        <v>101173.77522309884</v>
      </c>
    </row>
    <row r="772" spans="11:11" x14ac:dyDescent="0.45">
      <c r="K772">
        <v>79561.840185278692</v>
      </c>
    </row>
    <row r="773" spans="11:11" x14ac:dyDescent="0.45">
      <c r="K773">
        <v>72814.252387915258</v>
      </c>
    </row>
    <row r="774" spans="11:11" x14ac:dyDescent="0.45">
      <c r="K774">
        <v>57305.054032591353</v>
      </c>
    </row>
    <row r="775" spans="11:11" x14ac:dyDescent="0.45">
      <c r="K775">
        <v>72812.171617498039</v>
      </c>
    </row>
    <row r="776" spans="11:11" x14ac:dyDescent="0.45">
      <c r="K776">
        <v>59702.720466487968</v>
      </c>
    </row>
    <row r="777" spans="11:11" x14ac:dyDescent="0.45">
      <c r="K777">
        <v>81071.909223830895</v>
      </c>
    </row>
    <row r="778" spans="11:11" x14ac:dyDescent="0.45">
      <c r="K778">
        <v>79276.089961653983</v>
      </c>
    </row>
    <row r="779" spans="11:11" x14ac:dyDescent="0.45">
      <c r="K779">
        <v>85189.453173507427</v>
      </c>
    </row>
    <row r="780" spans="11:11" x14ac:dyDescent="0.45">
      <c r="K780">
        <v>67646.28868166155</v>
      </c>
    </row>
    <row r="781" spans="11:11" x14ac:dyDescent="0.45">
      <c r="K781">
        <v>63693.890536084633</v>
      </c>
    </row>
    <row r="782" spans="11:11" x14ac:dyDescent="0.45">
      <c r="K782">
        <v>76885.850827021684</v>
      </c>
    </row>
    <row r="783" spans="11:11" x14ac:dyDescent="0.45">
      <c r="K783">
        <v>68390.272545773842</v>
      </c>
    </row>
    <row r="784" spans="11:11" x14ac:dyDescent="0.45">
      <c r="K784">
        <v>67587.72005115675</v>
      </c>
    </row>
    <row r="785" spans="11:11" x14ac:dyDescent="0.45">
      <c r="K785">
        <v>63505.95084664449</v>
      </c>
    </row>
    <row r="786" spans="11:11" x14ac:dyDescent="0.45">
      <c r="K786">
        <v>59718.926286214315</v>
      </c>
    </row>
    <row r="787" spans="11:11" x14ac:dyDescent="0.45">
      <c r="K787">
        <v>87979.186889172357</v>
      </c>
    </row>
    <row r="788" spans="11:11" x14ac:dyDescent="0.45">
      <c r="K788">
        <v>69302.422718285205</v>
      </c>
    </row>
    <row r="789" spans="11:11" x14ac:dyDescent="0.45">
      <c r="K789">
        <v>64027.748850996271</v>
      </c>
    </row>
    <row r="790" spans="11:11" x14ac:dyDescent="0.45">
      <c r="K790">
        <v>66330.333964445163</v>
      </c>
    </row>
    <row r="791" spans="11:11" x14ac:dyDescent="0.45">
      <c r="K791">
        <v>97363.219598534924</v>
      </c>
    </row>
    <row r="792" spans="11:11" x14ac:dyDescent="0.45">
      <c r="K792">
        <v>55261.818959141252</v>
      </c>
    </row>
    <row r="793" spans="11:11" x14ac:dyDescent="0.45">
      <c r="K793">
        <v>81304.310347368344</v>
      </c>
    </row>
    <row r="794" spans="11:11" x14ac:dyDescent="0.45">
      <c r="K794">
        <v>78358.818037343488</v>
      </c>
    </row>
    <row r="795" spans="11:11" x14ac:dyDescent="0.45">
      <c r="K795">
        <v>65724.764143125678</v>
      </c>
    </row>
    <row r="796" spans="11:11" x14ac:dyDescent="0.45">
      <c r="K796">
        <v>92816.782885555251</v>
      </c>
    </row>
    <row r="797" spans="11:11" x14ac:dyDescent="0.45">
      <c r="K797">
        <v>60202.369353642083</v>
      </c>
    </row>
    <row r="798" spans="11:11" x14ac:dyDescent="0.45">
      <c r="K798">
        <v>66290.304916187495</v>
      </c>
    </row>
    <row r="799" spans="11:11" x14ac:dyDescent="0.45">
      <c r="K799">
        <v>77221.256975546698</v>
      </c>
    </row>
    <row r="800" spans="11:11" x14ac:dyDescent="0.45">
      <c r="K800">
        <v>70116.909538305568</v>
      </c>
    </row>
    <row r="801" spans="11:11" x14ac:dyDescent="0.45">
      <c r="K801">
        <v>65114.584111629258</v>
      </c>
    </row>
    <row r="802" spans="11:11" x14ac:dyDescent="0.45">
      <c r="K802">
        <v>71102.604818397653</v>
      </c>
    </row>
    <row r="803" spans="11:11" x14ac:dyDescent="0.45">
      <c r="K803">
        <v>62622.93766860367</v>
      </c>
    </row>
    <row r="804" spans="11:11" x14ac:dyDescent="0.45">
      <c r="K804">
        <v>93523.452479615269</v>
      </c>
    </row>
    <row r="805" spans="11:11" x14ac:dyDescent="0.45">
      <c r="K805">
        <v>83671.232633909618</v>
      </c>
    </row>
    <row r="806" spans="11:11" x14ac:dyDescent="0.45">
      <c r="K806">
        <v>69178.908859712232</v>
      </c>
    </row>
    <row r="807" spans="11:11" x14ac:dyDescent="0.45">
      <c r="K807">
        <v>66886.355451770985</v>
      </c>
    </row>
    <row r="808" spans="11:11" x14ac:dyDescent="0.45">
      <c r="K808">
        <v>75205.173718999009</v>
      </c>
    </row>
    <row r="809" spans="11:11" x14ac:dyDescent="0.45">
      <c r="K809">
        <v>73054.646640642692</v>
      </c>
    </row>
    <row r="810" spans="11:11" x14ac:dyDescent="0.45">
      <c r="K810">
        <v>78505.29277343287</v>
      </c>
    </row>
    <row r="811" spans="11:11" x14ac:dyDescent="0.45">
      <c r="K811">
        <v>58052.049293048098</v>
      </c>
    </row>
    <row r="812" spans="11:11" x14ac:dyDescent="0.45">
      <c r="K812">
        <v>86075.962413080488</v>
      </c>
    </row>
    <row r="813" spans="11:11" x14ac:dyDescent="0.45">
      <c r="K813">
        <v>72424.932865283787</v>
      </c>
    </row>
    <row r="814" spans="11:11" x14ac:dyDescent="0.45">
      <c r="K814">
        <v>55241.741638466629</v>
      </c>
    </row>
    <row r="815" spans="11:11" x14ac:dyDescent="0.45">
      <c r="K815">
        <v>78978.67092190696</v>
      </c>
    </row>
    <row r="816" spans="11:11" x14ac:dyDescent="0.45">
      <c r="K816">
        <v>69829.044319902794</v>
      </c>
    </row>
    <row r="817" spans="11:11" x14ac:dyDescent="0.45">
      <c r="K817">
        <v>69779.787853255446</v>
      </c>
    </row>
    <row r="818" spans="11:11" x14ac:dyDescent="0.45">
      <c r="K818">
        <v>47505.79257719715</v>
      </c>
    </row>
    <row r="819" spans="11:11" x14ac:dyDescent="0.45">
      <c r="K819">
        <v>54605.978117409519</v>
      </c>
    </row>
    <row r="820" spans="11:11" x14ac:dyDescent="0.45">
      <c r="K820">
        <v>96040.79001967216</v>
      </c>
    </row>
    <row r="821" spans="11:11" x14ac:dyDescent="0.45">
      <c r="K821">
        <v>55125.039684332791</v>
      </c>
    </row>
    <row r="822" spans="11:11" x14ac:dyDescent="0.45">
      <c r="K822">
        <v>51753.963553292968</v>
      </c>
    </row>
    <row r="823" spans="11:11" x14ac:dyDescent="0.45">
      <c r="K823">
        <v>71498.736823048006</v>
      </c>
    </row>
    <row r="824" spans="11:11" x14ac:dyDescent="0.45">
      <c r="K824">
        <v>90695.82143265217</v>
      </c>
    </row>
    <row r="825" spans="11:11" x14ac:dyDescent="0.45">
      <c r="K825">
        <v>69339.845222405143</v>
      </c>
    </row>
    <row r="826" spans="11:11" x14ac:dyDescent="0.45">
      <c r="K826">
        <v>66898.566181032293</v>
      </c>
    </row>
    <row r="827" spans="11:11" x14ac:dyDescent="0.45">
      <c r="K827">
        <v>95955.126567043015</v>
      </c>
    </row>
    <row r="828" spans="11:11" x14ac:dyDescent="0.45">
      <c r="K828">
        <v>81971.468108398447</v>
      </c>
    </row>
    <row r="829" spans="11:11" x14ac:dyDescent="0.45">
      <c r="K829">
        <v>65221.002950461298</v>
      </c>
    </row>
    <row r="830" spans="11:11" x14ac:dyDescent="0.45">
      <c r="K830">
        <v>70710.276828324888</v>
      </c>
    </row>
    <row r="831" spans="11:11" x14ac:dyDescent="0.45">
      <c r="K831">
        <v>80049.923825917489</v>
      </c>
    </row>
    <row r="832" spans="11:11" x14ac:dyDescent="0.45">
      <c r="K832">
        <v>70927.45989026512</v>
      </c>
    </row>
    <row r="833" spans="11:11" x14ac:dyDescent="0.45">
      <c r="K833">
        <v>75590.080186311927</v>
      </c>
    </row>
    <row r="834" spans="11:11" x14ac:dyDescent="0.45">
      <c r="K834">
        <v>75930.619033044772</v>
      </c>
    </row>
    <row r="835" spans="11:11" x14ac:dyDescent="0.45">
      <c r="K835">
        <v>74450.521801515279</v>
      </c>
    </row>
    <row r="836" spans="11:11" x14ac:dyDescent="0.45">
      <c r="K836">
        <v>78340.860551583697</v>
      </c>
    </row>
    <row r="837" spans="11:11" x14ac:dyDescent="0.45">
      <c r="K837">
        <v>63681.631758442003</v>
      </c>
    </row>
    <row r="838" spans="11:11" x14ac:dyDescent="0.45">
      <c r="K838">
        <v>77827.142387074171</v>
      </c>
    </row>
    <row r="839" spans="11:11" x14ac:dyDescent="0.45">
      <c r="K839">
        <v>68823.518659401496</v>
      </c>
    </row>
    <row r="840" spans="11:11" x14ac:dyDescent="0.45">
      <c r="K840">
        <v>68151.489836267006</v>
      </c>
    </row>
    <row r="841" spans="11:11" x14ac:dyDescent="0.45">
      <c r="K841">
        <v>51116.944518113334</v>
      </c>
    </row>
    <row r="842" spans="11:11" x14ac:dyDescent="0.45">
      <c r="K842">
        <v>69954.340227152381</v>
      </c>
    </row>
    <row r="843" spans="11:11" x14ac:dyDescent="0.45">
      <c r="K843">
        <v>89589.920615839132</v>
      </c>
    </row>
    <row r="844" spans="11:11" x14ac:dyDescent="0.45">
      <c r="K844">
        <v>71081.207739659323</v>
      </c>
    </row>
    <row r="845" spans="11:11" x14ac:dyDescent="0.45">
      <c r="K845">
        <v>57381.735751260669</v>
      </c>
    </row>
    <row r="846" spans="11:11" x14ac:dyDescent="0.45">
      <c r="K846">
        <v>72404.612829255915</v>
      </c>
    </row>
    <row r="847" spans="11:11" x14ac:dyDescent="0.45">
      <c r="K847">
        <v>98963.473060330231</v>
      </c>
    </row>
    <row r="848" spans="11:11" x14ac:dyDescent="0.45">
      <c r="K848">
        <v>61734.185041429439</v>
      </c>
    </row>
    <row r="849" spans="11:11" x14ac:dyDescent="0.45">
      <c r="K849">
        <v>72873.029307535064</v>
      </c>
    </row>
    <row r="850" spans="11:11" x14ac:dyDescent="0.45">
      <c r="K850">
        <v>71621.486553224968</v>
      </c>
    </row>
    <row r="851" spans="11:11" x14ac:dyDescent="0.45">
      <c r="K851">
        <v>66957.243987644659</v>
      </c>
    </row>
    <row r="852" spans="11:11" x14ac:dyDescent="0.45">
      <c r="K852">
        <v>90680.207044357114</v>
      </c>
    </row>
    <row r="853" spans="11:11" x14ac:dyDescent="0.45">
      <c r="K853">
        <v>71119.350409560735</v>
      </c>
    </row>
    <row r="854" spans="11:11" x14ac:dyDescent="0.45">
      <c r="K854">
        <v>73682.196441871522</v>
      </c>
    </row>
    <row r="855" spans="11:11" x14ac:dyDescent="0.45">
      <c r="K855">
        <v>76340.088273688598</v>
      </c>
    </row>
    <row r="856" spans="11:11" x14ac:dyDescent="0.45">
      <c r="K856">
        <v>62237.179700698529</v>
      </c>
    </row>
    <row r="857" spans="11:11" x14ac:dyDescent="0.45">
      <c r="K857">
        <v>78893.872621220245</v>
      </c>
    </row>
    <row r="858" spans="11:11" x14ac:dyDescent="0.45">
      <c r="K858">
        <v>63130.670606420856</v>
      </c>
    </row>
    <row r="859" spans="11:11" x14ac:dyDescent="0.45">
      <c r="K859">
        <v>60614.852991202621</v>
      </c>
    </row>
    <row r="860" spans="11:11" x14ac:dyDescent="0.45">
      <c r="K860">
        <v>72182.796639013846</v>
      </c>
    </row>
    <row r="861" spans="11:11" x14ac:dyDescent="0.45">
      <c r="K861">
        <v>76667.519264246657</v>
      </c>
    </row>
    <row r="862" spans="11:11" x14ac:dyDescent="0.45">
      <c r="K862">
        <v>71930.503051724605</v>
      </c>
    </row>
    <row r="863" spans="11:11" x14ac:dyDescent="0.45">
      <c r="K863">
        <v>66103.039402854774</v>
      </c>
    </row>
    <row r="864" spans="11:11" x14ac:dyDescent="0.45">
      <c r="K864">
        <v>73034.745534192291</v>
      </c>
    </row>
    <row r="865" spans="11:11" x14ac:dyDescent="0.45">
      <c r="K865">
        <v>72595.413783459997</v>
      </c>
    </row>
    <row r="866" spans="11:11" x14ac:dyDescent="0.45">
      <c r="K866">
        <v>51348.614294724539</v>
      </c>
    </row>
    <row r="867" spans="11:11" x14ac:dyDescent="0.45">
      <c r="K867">
        <v>67353.025093010365</v>
      </c>
    </row>
    <row r="868" spans="11:11" x14ac:dyDescent="0.45">
      <c r="K868">
        <v>81808.277666465961</v>
      </c>
    </row>
    <row r="869" spans="11:11" x14ac:dyDescent="0.45">
      <c r="K869">
        <v>73521.961533326365</v>
      </c>
    </row>
    <row r="870" spans="11:11" x14ac:dyDescent="0.45">
      <c r="K870">
        <v>59442.202059139672</v>
      </c>
    </row>
    <row r="871" spans="11:11" x14ac:dyDescent="0.45">
      <c r="K871">
        <v>92146.262773368697</v>
      </c>
    </row>
    <row r="872" spans="11:11" x14ac:dyDescent="0.45">
      <c r="K872">
        <v>76981.109505326196</v>
      </c>
    </row>
    <row r="873" spans="11:11" x14ac:dyDescent="0.45">
      <c r="K873">
        <v>61942.812813491451</v>
      </c>
    </row>
    <row r="874" spans="11:11" x14ac:dyDescent="0.45">
      <c r="K874">
        <v>77287.430613613935</v>
      </c>
    </row>
    <row r="875" spans="11:11" x14ac:dyDescent="0.45">
      <c r="K875">
        <v>76909.614883969873</v>
      </c>
    </row>
    <row r="876" spans="11:11" x14ac:dyDescent="0.45">
      <c r="K876">
        <v>58121.808712900849</v>
      </c>
    </row>
    <row r="877" spans="11:11" x14ac:dyDescent="0.45">
      <c r="K877">
        <v>66888.359923441458</v>
      </c>
    </row>
    <row r="878" spans="11:11" x14ac:dyDescent="0.45">
      <c r="K878">
        <v>74715.970576641907</v>
      </c>
    </row>
    <row r="879" spans="11:11" x14ac:dyDescent="0.45">
      <c r="K879">
        <v>49953.891403554255</v>
      </c>
    </row>
    <row r="880" spans="11:11" x14ac:dyDescent="0.45">
      <c r="K880">
        <v>71562.438045962757</v>
      </c>
    </row>
    <row r="881" spans="11:11" x14ac:dyDescent="0.45">
      <c r="K881">
        <v>74627.929492920681</v>
      </c>
    </row>
    <row r="882" spans="11:11" x14ac:dyDescent="0.45">
      <c r="K882">
        <v>84245.039884327009</v>
      </c>
    </row>
    <row r="883" spans="11:11" x14ac:dyDescent="0.45">
      <c r="K883">
        <v>83588.596951980813</v>
      </c>
    </row>
    <row r="884" spans="11:11" x14ac:dyDescent="0.45">
      <c r="K884">
        <v>93273.690995690355</v>
      </c>
    </row>
    <row r="885" spans="11:11" x14ac:dyDescent="0.45">
      <c r="K885">
        <v>63595.853570090738</v>
      </c>
    </row>
    <row r="886" spans="11:11" x14ac:dyDescent="0.45">
      <c r="K886">
        <v>79400.848914682487</v>
      </c>
    </row>
    <row r="887" spans="11:11" x14ac:dyDescent="0.45">
      <c r="K887">
        <v>69266.378459627784</v>
      </c>
    </row>
    <row r="888" spans="11:11" x14ac:dyDescent="0.45">
      <c r="K888">
        <v>42764.694241047589</v>
      </c>
    </row>
    <row r="889" spans="11:11" x14ac:dyDescent="0.45">
      <c r="K889">
        <v>76092.148612288875</v>
      </c>
    </row>
    <row r="890" spans="11:11" x14ac:dyDescent="0.45">
      <c r="K890">
        <v>81703.941064998944</v>
      </c>
    </row>
    <row r="891" spans="11:11" x14ac:dyDescent="0.45">
      <c r="K891">
        <v>77344.549433275868</v>
      </c>
    </row>
    <row r="892" spans="11:11" x14ac:dyDescent="0.45">
      <c r="K892">
        <v>82915.526350537024</v>
      </c>
    </row>
    <row r="893" spans="11:11" x14ac:dyDescent="0.45">
      <c r="K893">
        <v>74094.339073074472</v>
      </c>
    </row>
    <row r="894" spans="11:11" x14ac:dyDescent="0.45">
      <c r="K894">
        <v>59650.823139780303</v>
      </c>
    </row>
    <row r="895" spans="11:11" x14ac:dyDescent="0.45">
      <c r="K895">
        <v>56481.751810873146</v>
      </c>
    </row>
    <row r="896" spans="11:11" x14ac:dyDescent="0.45">
      <c r="K896">
        <v>77965.135211897126</v>
      </c>
    </row>
    <row r="897" spans="11:11" x14ac:dyDescent="0.45">
      <c r="K897">
        <v>84681.631672190721</v>
      </c>
    </row>
    <row r="898" spans="11:11" x14ac:dyDescent="0.45">
      <c r="K898">
        <v>78053.173470827911</v>
      </c>
    </row>
    <row r="899" spans="11:11" x14ac:dyDescent="0.45">
      <c r="K899">
        <v>71822.877956664684</v>
      </c>
    </row>
    <row r="900" spans="11:11" x14ac:dyDescent="0.45">
      <c r="K900">
        <v>81139.738851514354</v>
      </c>
    </row>
    <row r="901" spans="11:11" x14ac:dyDescent="0.45">
      <c r="K901">
        <v>81358.491585684067</v>
      </c>
    </row>
    <row r="902" spans="11:11" x14ac:dyDescent="0.45">
      <c r="K902">
        <v>85186.323074391621</v>
      </c>
    </row>
    <row r="903" spans="11:11" x14ac:dyDescent="0.45">
      <c r="K903">
        <v>73894.619868775131</v>
      </c>
    </row>
    <row r="904" spans="11:11" x14ac:dyDescent="0.45">
      <c r="K904">
        <v>83752.343392003182</v>
      </c>
    </row>
    <row r="905" spans="11:11" x14ac:dyDescent="0.45">
      <c r="K905">
        <v>60403.434556344393</v>
      </c>
    </row>
    <row r="906" spans="11:11" x14ac:dyDescent="0.45">
      <c r="K906">
        <v>60452.106614585689</v>
      </c>
    </row>
    <row r="907" spans="11:11" x14ac:dyDescent="0.45">
      <c r="K907">
        <v>99097.379301759182</v>
      </c>
    </row>
    <row r="908" spans="11:11" x14ac:dyDescent="0.45">
      <c r="K908">
        <v>80458.560943924516</v>
      </c>
    </row>
    <row r="909" spans="11:11" x14ac:dyDescent="0.45">
      <c r="K909">
        <v>76120.715796423086</v>
      </c>
    </row>
    <row r="910" spans="11:11" x14ac:dyDescent="0.45">
      <c r="K910">
        <v>51144.304185847112</v>
      </c>
    </row>
    <row r="911" spans="11:11" x14ac:dyDescent="0.45">
      <c r="K911">
        <v>66855.484776405501</v>
      </c>
    </row>
    <row r="912" spans="11:11" x14ac:dyDescent="0.45">
      <c r="K912">
        <v>86625.522663355921</v>
      </c>
    </row>
    <row r="913" spans="11:11" x14ac:dyDescent="0.45">
      <c r="K913">
        <v>71073.066529051779</v>
      </c>
    </row>
    <row r="914" spans="11:11" x14ac:dyDescent="0.45">
      <c r="K914">
        <v>74722.2088287933</v>
      </c>
    </row>
    <row r="915" spans="11:11" x14ac:dyDescent="0.45">
      <c r="K915">
        <v>70977.602916084943</v>
      </c>
    </row>
    <row r="916" spans="11:11" x14ac:dyDescent="0.45">
      <c r="K916">
        <v>72888.260878761444</v>
      </c>
    </row>
    <row r="917" spans="11:11" x14ac:dyDescent="0.45">
      <c r="K917">
        <v>70240.494460833099</v>
      </c>
    </row>
    <row r="918" spans="11:11" x14ac:dyDescent="0.45">
      <c r="K918">
        <v>75109.516560205535</v>
      </c>
    </row>
    <row r="919" spans="11:11" x14ac:dyDescent="0.45">
      <c r="K919">
        <v>69267.142876228652</v>
      </c>
    </row>
    <row r="920" spans="11:11" x14ac:dyDescent="0.45">
      <c r="K920">
        <v>75260.092483120447</v>
      </c>
    </row>
    <row r="921" spans="11:11" x14ac:dyDescent="0.45">
      <c r="K921">
        <v>84208.081419812879</v>
      </c>
    </row>
    <row r="922" spans="11:11" x14ac:dyDescent="0.45">
      <c r="K922">
        <v>59187.219445402705</v>
      </c>
    </row>
    <row r="923" spans="11:11" x14ac:dyDescent="0.45">
      <c r="K923">
        <v>68990.8049427144</v>
      </c>
    </row>
    <row r="924" spans="11:11" x14ac:dyDescent="0.45">
      <c r="K924">
        <v>94456.271825025935</v>
      </c>
    </row>
    <row r="925" spans="11:11" x14ac:dyDescent="0.45">
      <c r="K925">
        <v>101980.38746400778</v>
      </c>
    </row>
    <row r="926" spans="11:11" x14ac:dyDescent="0.45">
      <c r="K926">
        <v>60808.96777701089</v>
      </c>
    </row>
    <row r="927" spans="11:11" x14ac:dyDescent="0.45">
      <c r="K927">
        <v>90860.59624711833</v>
      </c>
    </row>
    <row r="928" spans="11:11" x14ac:dyDescent="0.45">
      <c r="K928">
        <v>89333.593816860943</v>
      </c>
    </row>
    <row r="929" spans="11:11" x14ac:dyDescent="0.45">
      <c r="K929">
        <v>77489.401716839217</v>
      </c>
    </row>
    <row r="930" spans="11:11" x14ac:dyDescent="0.45">
      <c r="K930">
        <v>77185.701543936098</v>
      </c>
    </row>
    <row r="931" spans="11:11" x14ac:dyDescent="0.45">
      <c r="K931">
        <v>62523.519341406653</v>
      </c>
    </row>
    <row r="932" spans="11:11" x14ac:dyDescent="0.45">
      <c r="K932">
        <v>68680.556557101765</v>
      </c>
    </row>
    <row r="933" spans="11:11" x14ac:dyDescent="0.45">
      <c r="K933">
        <v>51444.46029386131</v>
      </c>
    </row>
    <row r="934" spans="11:11" x14ac:dyDescent="0.45">
      <c r="K934">
        <v>69552.149174742401</v>
      </c>
    </row>
    <row r="935" spans="11:11" x14ac:dyDescent="0.45">
      <c r="K935">
        <v>69687.004059931904</v>
      </c>
    </row>
    <row r="936" spans="11:11" x14ac:dyDescent="0.45">
      <c r="K936">
        <v>75155.841140675504</v>
      </c>
    </row>
    <row r="937" spans="11:11" x14ac:dyDescent="0.45">
      <c r="K937">
        <v>107280.11023672226</v>
      </c>
    </row>
    <row r="938" spans="11:11" x14ac:dyDescent="0.45">
      <c r="K938">
        <v>63418.173159495345</v>
      </c>
    </row>
    <row r="939" spans="11:11" x14ac:dyDescent="0.45">
      <c r="K939">
        <v>73340.398994974545</v>
      </c>
    </row>
    <row r="940" spans="11:11" x14ac:dyDescent="0.45">
      <c r="K940">
        <v>78474.176520339242</v>
      </c>
    </row>
    <row r="941" spans="11:11" x14ac:dyDescent="0.45">
      <c r="K941">
        <v>70853.911682350707</v>
      </c>
    </row>
    <row r="942" spans="11:11" x14ac:dyDescent="0.45">
      <c r="K942">
        <v>65061.447843301321</v>
      </c>
    </row>
    <row r="943" spans="11:11" x14ac:dyDescent="0.45">
      <c r="K943">
        <v>65633.081010070004</v>
      </c>
    </row>
    <row r="944" spans="11:11" x14ac:dyDescent="0.45">
      <c r="K944">
        <v>77430.058162925649</v>
      </c>
    </row>
    <row r="945" spans="11:11" x14ac:dyDescent="0.45">
      <c r="K945">
        <v>92649.778692525986</v>
      </c>
    </row>
    <row r="946" spans="11:11" x14ac:dyDescent="0.45">
      <c r="K946">
        <v>66254.985317337516</v>
      </c>
    </row>
    <row r="947" spans="11:11" x14ac:dyDescent="0.45">
      <c r="K947">
        <v>63966.778811598822</v>
      </c>
    </row>
    <row r="948" spans="11:11" x14ac:dyDescent="0.45">
      <c r="K948">
        <v>86742.645963270596</v>
      </c>
    </row>
    <row r="949" spans="11:11" x14ac:dyDescent="0.45">
      <c r="K949">
        <v>70067.114795139903</v>
      </c>
    </row>
    <row r="950" spans="11:11" x14ac:dyDescent="0.45">
      <c r="K950">
        <v>55150.707011791121</v>
      </c>
    </row>
    <row r="951" spans="11:11" x14ac:dyDescent="0.45">
      <c r="K951">
        <v>60081.367721227871</v>
      </c>
    </row>
    <row r="952" spans="11:11" x14ac:dyDescent="0.45">
      <c r="K952">
        <v>63580.21745847354</v>
      </c>
    </row>
    <row r="953" spans="11:11" x14ac:dyDescent="0.45">
      <c r="K953">
        <v>82730.773091404932</v>
      </c>
    </row>
    <row r="954" spans="11:11" x14ac:dyDescent="0.45">
      <c r="K954">
        <v>62148.623018994338</v>
      </c>
    </row>
    <row r="955" spans="11:11" x14ac:dyDescent="0.45">
      <c r="K955">
        <v>71139.792943992259</v>
      </c>
    </row>
    <row r="956" spans="11:11" x14ac:dyDescent="0.45">
      <c r="K956">
        <v>66195.670306164233</v>
      </c>
    </row>
    <row r="957" spans="11:11" x14ac:dyDescent="0.45">
      <c r="K957">
        <v>77373.97606787931</v>
      </c>
    </row>
    <row r="958" spans="11:11" x14ac:dyDescent="0.45">
      <c r="K958">
        <v>84033.944126912596</v>
      </c>
    </row>
    <row r="959" spans="11:11" x14ac:dyDescent="0.45">
      <c r="K959">
        <v>74652.624719249507</v>
      </c>
    </row>
    <row r="960" spans="11:11" x14ac:dyDescent="0.45">
      <c r="K960">
        <v>89602.675196245269</v>
      </c>
    </row>
    <row r="961" spans="11:11" x14ac:dyDescent="0.45">
      <c r="K961">
        <v>64192.294362539476</v>
      </c>
    </row>
    <row r="962" spans="11:11" x14ac:dyDescent="0.45">
      <c r="K962">
        <v>83847.898457662814</v>
      </c>
    </row>
    <row r="963" spans="11:11" x14ac:dyDescent="0.45">
      <c r="K963">
        <v>75854.167355321682</v>
      </c>
    </row>
    <row r="964" spans="11:11" x14ac:dyDescent="0.45">
      <c r="K964">
        <v>58613.208200539622</v>
      </c>
    </row>
    <row r="965" spans="11:11" x14ac:dyDescent="0.45">
      <c r="K965">
        <v>82336.640048635934</v>
      </c>
    </row>
    <row r="966" spans="11:11" x14ac:dyDescent="0.45">
      <c r="K966">
        <v>57743.500602413427</v>
      </c>
    </row>
    <row r="967" spans="11:11" x14ac:dyDescent="0.45">
      <c r="K967">
        <v>83173.199448610787</v>
      </c>
    </row>
    <row r="968" spans="11:11" x14ac:dyDescent="0.45">
      <c r="K968">
        <v>67298.152675119942</v>
      </c>
    </row>
    <row r="969" spans="11:11" x14ac:dyDescent="0.45">
      <c r="K969">
        <v>62314.958546869122</v>
      </c>
    </row>
    <row r="970" spans="11:11" x14ac:dyDescent="0.45">
      <c r="K970">
        <v>80988.187232043041</v>
      </c>
    </row>
    <row r="971" spans="11:11" x14ac:dyDescent="0.45">
      <c r="K971">
        <v>69487.45340436096</v>
      </c>
    </row>
    <row r="972" spans="11:11" x14ac:dyDescent="0.45">
      <c r="K972">
        <v>82602.942932335282</v>
      </c>
    </row>
    <row r="973" spans="11:11" x14ac:dyDescent="0.45">
      <c r="K973">
        <v>76607.506236369809</v>
      </c>
    </row>
    <row r="974" spans="11:11" x14ac:dyDescent="0.45">
      <c r="K974">
        <v>68924.757726975367</v>
      </c>
    </row>
    <row r="975" spans="11:11" x14ac:dyDescent="0.45">
      <c r="K975">
        <v>86378.188262834883</v>
      </c>
    </row>
    <row r="976" spans="11:11" x14ac:dyDescent="0.45">
      <c r="K976">
        <v>71752.893102874179</v>
      </c>
    </row>
    <row r="977" spans="11:11" x14ac:dyDescent="0.45">
      <c r="K977">
        <v>87472.718067191745</v>
      </c>
    </row>
    <row r="978" spans="11:11" x14ac:dyDescent="0.45">
      <c r="K978">
        <v>102159.08827556297</v>
      </c>
    </row>
    <row r="979" spans="11:11" x14ac:dyDescent="0.45">
      <c r="K979">
        <v>79632.439225916649</v>
      </c>
    </row>
    <row r="980" spans="11:11" x14ac:dyDescent="0.45">
      <c r="K980">
        <v>91592.238843503947</v>
      </c>
    </row>
    <row r="981" spans="11:11" x14ac:dyDescent="0.45">
      <c r="K981">
        <v>60513.650956879392</v>
      </c>
    </row>
    <row r="982" spans="11:11" x14ac:dyDescent="0.45">
      <c r="K982">
        <v>54937.861501911029</v>
      </c>
    </row>
    <row r="983" spans="11:11" x14ac:dyDescent="0.45">
      <c r="K983">
        <v>78175.37297985534</v>
      </c>
    </row>
    <row r="984" spans="11:11" x14ac:dyDescent="0.45">
      <c r="K984">
        <v>70031.608929543872</v>
      </c>
    </row>
    <row r="985" spans="11:11" x14ac:dyDescent="0.45">
      <c r="K985">
        <v>73789.949765379279</v>
      </c>
    </row>
    <row r="986" spans="11:11" x14ac:dyDescent="0.45">
      <c r="K986">
        <v>71210.113731299891</v>
      </c>
    </row>
    <row r="987" spans="11:11" x14ac:dyDescent="0.45">
      <c r="K987">
        <v>86445.197971396337</v>
      </c>
    </row>
    <row r="988" spans="11:11" x14ac:dyDescent="0.45">
      <c r="K988">
        <v>52383.074751334556</v>
      </c>
    </row>
    <row r="989" spans="11:11" x14ac:dyDescent="0.45">
      <c r="K989">
        <v>60204.092966300756</v>
      </c>
    </row>
    <row r="990" spans="11:11" x14ac:dyDescent="0.45">
      <c r="K990">
        <v>58580.130956196903</v>
      </c>
    </row>
    <row r="991" spans="11:11" x14ac:dyDescent="0.45">
      <c r="K991">
        <v>61930.363643539007</v>
      </c>
    </row>
    <row r="992" spans="11:11" x14ac:dyDescent="0.45">
      <c r="K992">
        <v>83228.919732981958</v>
      </c>
    </row>
    <row r="993" spans="11:11" x14ac:dyDescent="0.45">
      <c r="K993">
        <v>76349.597738070093</v>
      </c>
    </row>
    <row r="994" spans="11:11" x14ac:dyDescent="0.45">
      <c r="K994">
        <v>73703.812499529784</v>
      </c>
    </row>
    <row r="995" spans="11:11" x14ac:dyDescent="0.45">
      <c r="K995">
        <v>66009.141927210512</v>
      </c>
    </row>
    <row r="996" spans="11:11" x14ac:dyDescent="0.45">
      <c r="K996">
        <v>77774.395757716557</v>
      </c>
    </row>
    <row r="997" spans="11:11" x14ac:dyDescent="0.45">
      <c r="K997">
        <v>91910.669735225922</v>
      </c>
    </row>
    <row r="998" spans="11:11" x14ac:dyDescent="0.45">
      <c r="K998">
        <v>79628.063456669377</v>
      </c>
    </row>
    <row r="999" spans="11:11" x14ac:dyDescent="0.45">
      <c r="K999">
        <v>66164.022430978861</v>
      </c>
    </row>
    <row r="1000" spans="11:11" x14ac:dyDescent="0.45">
      <c r="K1000">
        <v>53370.316557922204</v>
      </c>
    </row>
  </sheetData>
  <pageMargins left="0.7" right="0.7" top="0.75" bottom="0.75" header="0.3" footer="0.3"/>
  <pageSetup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1.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452BA-4BD9-4360-8B4C-F2190796BBE0}">
  <sheetPr codeName="Sheet2"/>
  <dimension ref="A1:Q1000"/>
  <sheetViews>
    <sheetView workbookViewId="0"/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84537.709334335726</v>
      </c>
      <c r="M1" s="1">
        <f>AVERAGE(K1:K10000)</f>
        <v>67861.769620020132</v>
      </c>
    </row>
    <row r="2" spans="1:17" x14ac:dyDescent="0.45">
      <c r="C2" t="s">
        <v>0</v>
      </c>
      <c r="D2" t="s">
        <v>1</v>
      </c>
      <c r="K2">
        <v>103745.08891170527</v>
      </c>
      <c r="M2" s="1">
        <f>_xlfn.STDEV.S(K1:K10000)</f>
        <v>17178.210752782285</v>
      </c>
    </row>
    <row r="3" spans="1:17" x14ac:dyDescent="0.45">
      <c r="B3" t="s">
        <v>8</v>
      </c>
      <c r="C3" s="1">
        <f>68859</f>
        <v>68859</v>
      </c>
      <c r="D3" s="1">
        <v>16752</v>
      </c>
      <c r="K3">
        <v>72650.615759782479</v>
      </c>
      <c r="O3" s="3"/>
      <c r="P3" s="4"/>
      <c r="Q3" s="5"/>
    </row>
    <row r="4" spans="1:17" x14ac:dyDescent="0.45">
      <c r="K4">
        <v>39473.249232573922</v>
      </c>
      <c r="O4" s="6"/>
      <c r="P4" s="7"/>
      <c r="Q4" s="8"/>
    </row>
    <row r="5" spans="1:17" x14ac:dyDescent="0.45">
      <c r="B5" t="s">
        <v>2</v>
      </c>
      <c r="C5" s="1">
        <f ca="1">_xlfn.NORM.INV(RAND(),C3,D3)</f>
        <v>79013.375485553435</v>
      </c>
      <c r="K5">
        <v>79927.790522775365</v>
      </c>
      <c r="O5" s="6"/>
      <c r="P5" s="7"/>
      <c r="Q5" s="8"/>
    </row>
    <row r="6" spans="1:17" x14ac:dyDescent="0.45">
      <c r="K6">
        <v>69525.258922636101</v>
      </c>
      <c r="O6" s="6"/>
      <c r="P6" s="7"/>
      <c r="Q6" s="8"/>
    </row>
    <row r="7" spans="1:17" x14ac:dyDescent="0.45">
      <c r="E7" s="2">
        <f ca="1">_xlfn.NORM.INV(RAND(),$C$3,$D$3)</f>
        <v>56216.266348242272</v>
      </c>
      <c r="F7" s="2">
        <f t="shared" ref="F7:I7" ca="1" si="0">_xlfn.NORM.INV(RAND(),$C$3,$D$3)</f>
        <v>75786.315501818724</v>
      </c>
      <c r="G7" s="2">
        <f t="shared" ca="1" si="0"/>
        <v>72341.22895014871</v>
      </c>
      <c r="H7" s="2">
        <f t="shared" ca="1" si="0"/>
        <v>87020.631905732545</v>
      </c>
      <c r="I7" s="2">
        <f t="shared" ca="1" si="0"/>
        <v>40514.678025913337</v>
      </c>
      <c r="J7" s="1"/>
      <c r="K7">
        <v>78621.691963173595</v>
      </c>
      <c r="O7" s="6"/>
      <c r="P7" s="7"/>
      <c r="Q7" s="8"/>
    </row>
    <row r="8" spans="1:17" x14ac:dyDescent="0.45">
      <c r="B8" t="s">
        <v>3</v>
      </c>
      <c r="C8">
        <v>1000</v>
      </c>
      <c r="K8">
        <v>108125.13378444521</v>
      </c>
      <c r="O8" s="6"/>
      <c r="P8" s="7"/>
      <c r="Q8" s="8"/>
    </row>
    <row r="9" spans="1:17" x14ac:dyDescent="0.45">
      <c r="B9" t="s">
        <v>4</v>
      </c>
      <c r="C9">
        <v>1000</v>
      </c>
      <c r="K9">
        <v>61109.298960702698</v>
      </c>
      <c r="O9" s="6"/>
      <c r="P9" s="7"/>
      <c r="Q9" s="8"/>
    </row>
    <row r="10" spans="1:17" x14ac:dyDescent="0.45">
      <c r="B10" t="s">
        <v>6</v>
      </c>
      <c r="C10" s="1">
        <f>MAX(K:K)</f>
        <v>121725.42245772657</v>
      </c>
      <c r="K10">
        <v>86514.678558093437</v>
      </c>
      <c r="O10" s="6"/>
      <c r="P10" s="7"/>
      <c r="Q10" s="8"/>
    </row>
    <row r="11" spans="1:17" x14ac:dyDescent="0.45">
      <c r="B11" t="s">
        <v>5</v>
      </c>
      <c r="C11" s="1">
        <f>MIN(K:K)</f>
        <v>10750.073271306523</v>
      </c>
      <c r="E11" s="1">
        <f>ROUNDDOWN((C10-C11)/100,0)</f>
        <v>1109</v>
      </c>
      <c r="K11">
        <v>52180.366813947971</v>
      </c>
      <c r="O11" s="6"/>
      <c r="P11" s="7"/>
      <c r="Q11" s="8"/>
    </row>
    <row r="12" spans="1:17" x14ac:dyDescent="0.45">
      <c r="K12">
        <v>92898.271721613157</v>
      </c>
      <c r="O12" s="6"/>
      <c r="P12" s="7"/>
      <c r="Q12" s="8"/>
    </row>
    <row r="13" spans="1:17" x14ac:dyDescent="0.45">
      <c r="A13" s="1">
        <f>ROUNDDOWN(C11,0)</f>
        <v>10750</v>
      </c>
      <c r="B13">
        <f>COUNTIFS($K$1:$K$1000,"&gt;="&amp; A13,$K$1:$K$1000,"&lt;"&amp; A14)</f>
        <v>1</v>
      </c>
      <c r="C13" s="2"/>
      <c r="K13">
        <v>79488.586327456185</v>
      </c>
      <c r="O13" s="6"/>
      <c r="P13" s="7"/>
      <c r="Q13" s="8"/>
    </row>
    <row r="14" spans="1:17" x14ac:dyDescent="0.45">
      <c r="A14" s="12">
        <f>IF(A13+($C$10-$C$11)/50&lt;=$C$10,A13+($C$10-$C$11)/50,MAX(A13+($C$10-$C$11)/50,$C$10))</f>
        <v>12969.506983728401</v>
      </c>
      <c r="B14">
        <f t="shared" ref="B14:B63" si="1">COUNTIFS($K$1:$K$1000,"&gt;="&amp; A14,$K$1:$K$1000,"&lt;"&amp; A15)</f>
        <v>2</v>
      </c>
      <c r="C14" s="2"/>
      <c r="K14">
        <v>10750.073271306523</v>
      </c>
      <c r="O14" s="6"/>
      <c r="P14" s="7"/>
      <c r="Q14" s="8"/>
    </row>
    <row r="15" spans="1:17" x14ac:dyDescent="0.45">
      <c r="A15" s="12">
        <f t="shared" ref="A15:A63" si="2">IF(A14+($C$10-$C$11)/50&lt;=$C$10,A14+($C$10-$C$11)/50,MAX(A14+($C$10-$C$11)/50,$C$10))</f>
        <v>15189.013967456802</v>
      </c>
      <c r="B15">
        <f t="shared" si="1"/>
        <v>0</v>
      </c>
      <c r="C15" s="2"/>
      <c r="K15">
        <v>71520.096722217888</v>
      </c>
      <c r="O15" s="6"/>
      <c r="P15" s="7"/>
      <c r="Q15" s="8"/>
    </row>
    <row r="16" spans="1:17" x14ac:dyDescent="0.45">
      <c r="A16" s="12">
        <f t="shared" si="2"/>
        <v>17408.520951185201</v>
      </c>
      <c r="B16">
        <f t="shared" si="1"/>
        <v>0</v>
      </c>
      <c r="C16" s="2"/>
      <c r="K16">
        <v>111173.81299969438</v>
      </c>
      <c r="O16" s="6"/>
      <c r="P16" s="7"/>
      <c r="Q16" s="8"/>
    </row>
    <row r="17" spans="1:17" x14ac:dyDescent="0.45">
      <c r="A17" s="12">
        <f t="shared" si="2"/>
        <v>19628.027934913604</v>
      </c>
      <c r="B17">
        <f t="shared" si="1"/>
        <v>0</v>
      </c>
      <c r="C17" s="2"/>
      <c r="K17">
        <v>43002.369355965231</v>
      </c>
      <c r="O17" s="6"/>
      <c r="P17" s="7"/>
      <c r="Q17" s="8"/>
    </row>
    <row r="18" spans="1:17" x14ac:dyDescent="0.45">
      <c r="A18" s="12">
        <f t="shared" si="2"/>
        <v>21847.534918642006</v>
      </c>
      <c r="B18">
        <f t="shared" si="1"/>
        <v>1</v>
      </c>
      <c r="C18" s="2"/>
      <c r="K18">
        <v>77395.648488462</v>
      </c>
      <c r="O18" s="6"/>
      <c r="P18" s="7"/>
      <c r="Q18" s="8"/>
    </row>
    <row r="19" spans="1:17" x14ac:dyDescent="0.45">
      <c r="A19" s="12">
        <f t="shared" si="2"/>
        <v>24067.041902370409</v>
      </c>
      <c r="B19">
        <f t="shared" si="1"/>
        <v>2</v>
      </c>
      <c r="C19" s="2"/>
      <c r="K19">
        <v>88583.293274281765</v>
      </c>
      <c r="O19" s="6"/>
      <c r="P19" s="7"/>
      <c r="Q19" s="8"/>
    </row>
    <row r="20" spans="1:17" x14ac:dyDescent="0.45">
      <c r="A20" s="12">
        <f t="shared" si="2"/>
        <v>26286.548886098812</v>
      </c>
      <c r="B20">
        <f t="shared" si="1"/>
        <v>1</v>
      </c>
      <c r="C20" s="2"/>
      <c r="K20">
        <v>83636.045859907375</v>
      </c>
      <c r="O20" s="9"/>
      <c r="P20" s="10"/>
      <c r="Q20" s="11"/>
    </row>
    <row r="21" spans="1:17" x14ac:dyDescent="0.45">
      <c r="A21" s="12">
        <f t="shared" si="2"/>
        <v>28506.055869827214</v>
      </c>
      <c r="B21">
        <f t="shared" si="1"/>
        <v>1</v>
      </c>
      <c r="C21" s="2"/>
      <c r="K21">
        <v>77255.925066193144</v>
      </c>
    </row>
    <row r="22" spans="1:17" x14ac:dyDescent="0.45">
      <c r="A22" s="12">
        <f t="shared" si="2"/>
        <v>30725.562853555617</v>
      </c>
      <c r="B22">
        <f t="shared" si="1"/>
        <v>12</v>
      </c>
      <c r="C22" s="2"/>
      <c r="K22">
        <v>39560.070199722992</v>
      </c>
    </row>
    <row r="23" spans="1:17" x14ac:dyDescent="0.45">
      <c r="A23" s="12">
        <f t="shared" si="2"/>
        <v>32945.06983728402</v>
      </c>
      <c r="B23">
        <f t="shared" si="1"/>
        <v>10</v>
      </c>
      <c r="C23" s="2"/>
      <c r="K23">
        <v>36844.068207224307</v>
      </c>
    </row>
    <row r="24" spans="1:17" x14ac:dyDescent="0.45">
      <c r="A24" s="12">
        <f t="shared" si="2"/>
        <v>35164.576821012422</v>
      </c>
      <c r="B24">
        <f t="shared" si="1"/>
        <v>10</v>
      </c>
      <c r="C24" s="2"/>
      <c r="K24">
        <v>44420.17750245615</v>
      </c>
    </row>
    <row r="25" spans="1:17" x14ac:dyDescent="0.45">
      <c r="A25" s="12">
        <f t="shared" si="2"/>
        <v>37384.083804740825</v>
      </c>
      <c r="B25">
        <f t="shared" si="1"/>
        <v>10</v>
      </c>
      <c r="C25" s="2"/>
      <c r="K25">
        <v>69025.394158863041</v>
      </c>
    </row>
    <row r="26" spans="1:17" x14ac:dyDescent="0.45">
      <c r="A26" s="12">
        <f t="shared" si="2"/>
        <v>39603.590788469228</v>
      </c>
      <c r="B26">
        <f t="shared" si="1"/>
        <v>15</v>
      </c>
      <c r="C26" s="2"/>
      <c r="K26">
        <v>81027.920990606057</v>
      </c>
    </row>
    <row r="27" spans="1:17" x14ac:dyDescent="0.45">
      <c r="A27" s="12">
        <f t="shared" si="2"/>
        <v>41823.097772197631</v>
      </c>
      <c r="B27">
        <f t="shared" si="1"/>
        <v>20</v>
      </c>
      <c r="C27" s="2"/>
      <c r="K27">
        <v>74531.17669512103</v>
      </c>
    </row>
    <row r="28" spans="1:17" x14ac:dyDescent="0.45">
      <c r="A28" s="12">
        <f t="shared" si="2"/>
        <v>44042.604755926033</v>
      </c>
      <c r="B28">
        <f t="shared" si="1"/>
        <v>24</v>
      </c>
      <c r="C28" s="2"/>
      <c r="K28">
        <v>87653.390263515321</v>
      </c>
    </row>
    <row r="29" spans="1:17" x14ac:dyDescent="0.45">
      <c r="A29" s="12">
        <f t="shared" si="2"/>
        <v>46262.111739654436</v>
      </c>
      <c r="B29">
        <f t="shared" si="1"/>
        <v>26</v>
      </c>
      <c r="C29" s="2"/>
      <c r="K29">
        <v>113320.97338582331</v>
      </c>
    </row>
    <row r="30" spans="1:17" x14ac:dyDescent="0.45">
      <c r="A30" s="12">
        <f t="shared" si="2"/>
        <v>48481.618723382839</v>
      </c>
      <c r="B30">
        <f t="shared" si="1"/>
        <v>35</v>
      </c>
      <c r="C30" s="2"/>
      <c r="K30">
        <v>32184.648097102938</v>
      </c>
    </row>
    <row r="31" spans="1:17" x14ac:dyDescent="0.45">
      <c r="A31" s="12">
        <f t="shared" si="2"/>
        <v>50701.125707111241</v>
      </c>
      <c r="B31">
        <f t="shared" si="1"/>
        <v>29</v>
      </c>
      <c r="C31" s="2"/>
      <c r="K31">
        <v>79610.466495950095</v>
      </c>
    </row>
    <row r="32" spans="1:17" x14ac:dyDescent="0.45">
      <c r="A32" s="12">
        <f t="shared" si="2"/>
        <v>52920.632690839644</v>
      </c>
      <c r="B32">
        <f t="shared" si="1"/>
        <v>33</v>
      </c>
      <c r="C32" s="2"/>
      <c r="K32">
        <v>32054.297811637713</v>
      </c>
    </row>
    <row r="33" spans="1:11" x14ac:dyDescent="0.45">
      <c r="A33" s="12">
        <f t="shared" si="2"/>
        <v>55140.139674568047</v>
      </c>
      <c r="B33">
        <f t="shared" si="1"/>
        <v>35</v>
      </c>
      <c r="C33" s="2"/>
      <c r="K33">
        <v>58223.312106296966</v>
      </c>
    </row>
    <row r="34" spans="1:11" x14ac:dyDescent="0.45">
      <c r="A34" s="12">
        <f t="shared" si="2"/>
        <v>57359.646658296449</v>
      </c>
      <c r="B34">
        <f t="shared" si="1"/>
        <v>43</v>
      </c>
      <c r="C34" s="2"/>
      <c r="K34">
        <v>71822.915151948619</v>
      </c>
    </row>
    <row r="35" spans="1:11" x14ac:dyDescent="0.45">
      <c r="A35" s="12">
        <f t="shared" si="2"/>
        <v>59579.153642024852</v>
      </c>
      <c r="B35">
        <f t="shared" si="1"/>
        <v>42</v>
      </c>
      <c r="C35" s="2"/>
      <c r="K35">
        <v>51353.955560828661</v>
      </c>
    </row>
    <row r="36" spans="1:11" x14ac:dyDescent="0.45">
      <c r="A36" s="12">
        <f t="shared" si="2"/>
        <v>61798.660625753255</v>
      </c>
      <c r="B36">
        <f t="shared" si="1"/>
        <v>44</v>
      </c>
      <c r="C36" s="2"/>
      <c r="K36">
        <v>36681.327542816769</v>
      </c>
    </row>
    <row r="37" spans="1:11" x14ac:dyDescent="0.45">
      <c r="A37" s="12">
        <f t="shared" si="2"/>
        <v>64018.167609481658</v>
      </c>
      <c r="B37">
        <f t="shared" si="1"/>
        <v>61</v>
      </c>
      <c r="C37" s="2"/>
      <c r="K37">
        <v>44972.666855590534</v>
      </c>
    </row>
    <row r="38" spans="1:11" x14ac:dyDescent="0.45">
      <c r="A38" s="12">
        <f t="shared" si="2"/>
        <v>66237.67459321006</v>
      </c>
      <c r="B38">
        <f t="shared" si="1"/>
        <v>42</v>
      </c>
      <c r="C38" s="2"/>
      <c r="K38">
        <v>65595.273278476991</v>
      </c>
    </row>
    <row r="39" spans="1:11" x14ac:dyDescent="0.45">
      <c r="A39" s="12">
        <f t="shared" si="2"/>
        <v>68457.181576938456</v>
      </c>
      <c r="B39">
        <f t="shared" si="1"/>
        <v>59</v>
      </c>
      <c r="C39" s="2"/>
      <c r="K39">
        <v>66615.926058795376</v>
      </c>
    </row>
    <row r="40" spans="1:11" x14ac:dyDescent="0.45">
      <c r="A40" s="12">
        <f t="shared" si="2"/>
        <v>70676.688560666851</v>
      </c>
      <c r="B40">
        <f t="shared" si="1"/>
        <v>58</v>
      </c>
      <c r="C40" s="2"/>
      <c r="K40">
        <v>63654.108514823987</v>
      </c>
    </row>
    <row r="41" spans="1:11" x14ac:dyDescent="0.45">
      <c r="A41" s="12">
        <f t="shared" si="2"/>
        <v>72896.195544395247</v>
      </c>
      <c r="B41">
        <f t="shared" si="1"/>
        <v>56</v>
      </c>
      <c r="C41" s="2"/>
      <c r="K41">
        <v>61453.902316247913</v>
      </c>
    </row>
    <row r="42" spans="1:11" x14ac:dyDescent="0.45">
      <c r="A42" s="12">
        <f t="shared" si="2"/>
        <v>75115.702528123642</v>
      </c>
      <c r="B42">
        <f t="shared" si="1"/>
        <v>49</v>
      </c>
      <c r="C42" s="2"/>
      <c r="K42">
        <v>56863.990268162794</v>
      </c>
    </row>
    <row r="43" spans="1:11" x14ac:dyDescent="0.45">
      <c r="A43" s="12">
        <f t="shared" si="2"/>
        <v>77335.209511852037</v>
      </c>
      <c r="B43">
        <f t="shared" si="1"/>
        <v>50</v>
      </c>
      <c r="C43" s="2"/>
      <c r="K43">
        <v>58616.320760616101</v>
      </c>
    </row>
    <row r="44" spans="1:11" x14ac:dyDescent="0.45">
      <c r="A44" s="12">
        <f t="shared" si="2"/>
        <v>79554.716495580433</v>
      </c>
      <c r="B44">
        <f t="shared" si="1"/>
        <v>28</v>
      </c>
      <c r="C44" s="2"/>
      <c r="K44">
        <v>53288.21914269853</v>
      </c>
    </row>
    <row r="45" spans="1:11" x14ac:dyDescent="0.45">
      <c r="A45" s="12">
        <f t="shared" si="2"/>
        <v>81774.223479308828</v>
      </c>
      <c r="B45">
        <f t="shared" si="1"/>
        <v>31</v>
      </c>
      <c r="C45" s="2"/>
      <c r="K45">
        <v>47877.591119208169</v>
      </c>
    </row>
    <row r="46" spans="1:11" x14ac:dyDescent="0.45">
      <c r="A46" s="12">
        <f t="shared" si="2"/>
        <v>83993.730463037224</v>
      </c>
      <c r="B46">
        <f t="shared" si="1"/>
        <v>31</v>
      </c>
      <c r="C46" s="2"/>
      <c r="K46">
        <v>98299.037666469463</v>
      </c>
    </row>
    <row r="47" spans="1:11" x14ac:dyDescent="0.45">
      <c r="A47" s="12">
        <f t="shared" si="2"/>
        <v>86213.237446765619</v>
      </c>
      <c r="B47">
        <f t="shared" si="1"/>
        <v>26</v>
      </c>
      <c r="C47" s="2"/>
      <c r="K47">
        <v>59193.721651438507</v>
      </c>
    </row>
    <row r="48" spans="1:11" x14ac:dyDescent="0.45">
      <c r="A48" s="12">
        <f t="shared" si="2"/>
        <v>88432.744430494015</v>
      </c>
      <c r="B48">
        <f t="shared" si="1"/>
        <v>20</v>
      </c>
      <c r="C48" s="2"/>
      <c r="K48">
        <v>73151.372729000359</v>
      </c>
    </row>
    <row r="49" spans="1:11" x14ac:dyDescent="0.45">
      <c r="A49" s="12">
        <f t="shared" si="2"/>
        <v>90652.25141422241</v>
      </c>
      <c r="B49">
        <f t="shared" si="1"/>
        <v>21</v>
      </c>
      <c r="C49" s="2"/>
      <c r="K49">
        <v>58730.490164651579</v>
      </c>
    </row>
    <row r="50" spans="1:11" x14ac:dyDescent="0.45">
      <c r="A50" s="12">
        <f t="shared" si="2"/>
        <v>92871.758397950805</v>
      </c>
      <c r="B50">
        <f t="shared" si="1"/>
        <v>8</v>
      </c>
      <c r="C50" s="2"/>
      <c r="K50">
        <v>72901.987527606965</v>
      </c>
    </row>
    <row r="51" spans="1:11" x14ac:dyDescent="0.45">
      <c r="A51" s="12">
        <f t="shared" si="2"/>
        <v>95091.265381679201</v>
      </c>
      <c r="B51">
        <f t="shared" si="1"/>
        <v>10</v>
      </c>
      <c r="C51" s="2"/>
      <c r="K51">
        <v>73976.268852599678</v>
      </c>
    </row>
    <row r="52" spans="1:11" x14ac:dyDescent="0.45">
      <c r="A52" s="12">
        <f t="shared" si="2"/>
        <v>97310.772365407596</v>
      </c>
      <c r="B52">
        <f t="shared" si="1"/>
        <v>20</v>
      </c>
      <c r="C52" s="2"/>
      <c r="K52">
        <v>72278.584600594026</v>
      </c>
    </row>
    <row r="53" spans="1:11" x14ac:dyDescent="0.45">
      <c r="A53" s="12">
        <f t="shared" si="2"/>
        <v>99530.279349135992</v>
      </c>
      <c r="B53">
        <f t="shared" si="1"/>
        <v>7</v>
      </c>
      <c r="C53" s="2"/>
      <c r="K53">
        <v>31330.141864524936</v>
      </c>
    </row>
    <row r="54" spans="1:11" x14ac:dyDescent="0.45">
      <c r="A54" s="12">
        <f t="shared" si="2"/>
        <v>101749.78633286439</v>
      </c>
      <c r="B54">
        <f t="shared" si="1"/>
        <v>7</v>
      </c>
      <c r="C54" s="2"/>
      <c r="K54">
        <v>75998.485990484434</v>
      </c>
    </row>
    <row r="55" spans="1:11" x14ac:dyDescent="0.45">
      <c r="A55" s="12">
        <f t="shared" si="2"/>
        <v>103969.29331659278</v>
      </c>
      <c r="B55">
        <f t="shared" si="1"/>
        <v>7</v>
      </c>
      <c r="C55" s="2"/>
      <c r="K55">
        <v>67219.68893839659</v>
      </c>
    </row>
    <row r="56" spans="1:11" x14ac:dyDescent="0.45">
      <c r="A56" s="12">
        <f t="shared" si="2"/>
        <v>106188.80030032118</v>
      </c>
      <c r="B56">
        <f t="shared" si="1"/>
        <v>1</v>
      </c>
      <c r="C56" s="2"/>
      <c r="K56">
        <v>85340.170740494708</v>
      </c>
    </row>
    <row r="57" spans="1:11" x14ac:dyDescent="0.45">
      <c r="A57" s="12">
        <f t="shared" si="2"/>
        <v>108408.30728404957</v>
      </c>
      <c r="B57">
        <f t="shared" si="1"/>
        <v>4</v>
      </c>
      <c r="C57" s="2"/>
      <c r="K57">
        <v>72795.363447901662</v>
      </c>
    </row>
    <row r="58" spans="1:11" x14ac:dyDescent="0.45">
      <c r="A58" s="12">
        <f t="shared" si="2"/>
        <v>110627.81426777797</v>
      </c>
      <c r="B58">
        <f t="shared" si="1"/>
        <v>4</v>
      </c>
      <c r="C58" s="2"/>
      <c r="K58">
        <v>60560.788017645566</v>
      </c>
    </row>
    <row r="59" spans="1:11" x14ac:dyDescent="0.45">
      <c r="A59" s="12">
        <f t="shared" si="2"/>
        <v>112847.32125150636</v>
      </c>
      <c r="B59">
        <f t="shared" si="1"/>
        <v>2</v>
      </c>
      <c r="C59" s="2"/>
      <c r="K59">
        <v>59149.925473403171</v>
      </c>
    </row>
    <row r="60" spans="1:11" x14ac:dyDescent="0.45">
      <c r="A60" s="12">
        <f t="shared" si="2"/>
        <v>115066.82823523476</v>
      </c>
      <c r="B60">
        <f t="shared" si="1"/>
        <v>1</v>
      </c>
      <c r="C60" s="2"/>
      <c r="K60">
        <v>100829.31388744958</v>
      </c>
    </row>
    <row r="61" spans="1:11" x14ac:dyDescent="0.45">
      <c r="A61" s="12">
        <f t="shared" si="2"/>
        <v>117286.33521896316</v>
      </c>
      <c r="B61">
        <f t="shared" si="1"/>
        <v>0</v>
      </c>
      <c r="C61" s="2"/>
      <c r="K61">
        <v>87328.034915597149</v>
      </c>
    </row>
    <row r="62" spans="1:11" x14ac:dyDescent="0.45">
      <c r="A62" s="12">
        <f t="shared" si="2"/>
        <v>119505.84220269155</v>
      </c>
      <c r="B62">
        <f t="shared" si="1"/>
        <v>0</v>
      </c>
      <c r="C62" s="2"/>
      <c r="K62">
        <v>80724.002869893709</v>
      </c>
    </row>
    <row r="63" spans="1:11" x14ac:dyDescent="0.45">
      <c r="A63" s="12">
        <f t="shared" si="2"/>
        <v>121725.34918641995</v>
      </c>
      <c r="B63">
        <f t="shared" si="1"/>
        <v>0</v>
      </c>
      <c r="C63" s="2"/>
      <c r="K63">
        <v>61730.33526143762</v>
      </c>
    </row>
    <row r="64" spans="1:11" x14ac:dyDescent="0.45">
      <c r="A64" s="12"/>
      <c r="B64">
        <f>SUM(B13:B63)</f>
        <v>999</v>
      </c>
      <c r="C64" s="2"/>
      <c r="K64">
        <v>70694.760910905141</v>
      </c>
    </row>
    <row r="65" spans="1:11" x14ac:dyDescent="0.45">
      <c r="A65" s="12"/>
      <c r="C65" s="2"/>
      <c r="K65">
        <v>80847.822009643744</v>
      </c>
    </row>
    <row r="66" spans="1:11" x14ac:dyDescent="0.45">
      <c r="A66" s="12"/>
      <c r="C66" s="2"/>
      <c r="K66">
        <v>41911.919024334653</v>
      </c>
    </row>
    <row r="67" spans="1:11" x14ac:dyDescent="0.45">
      <c r="A67" s="12"/>
      <c r="C67" s="2"/>
      <c r="K67">
        <v>63945.939782355345</v>
      </c>
    </row>
    <row r="68" spans="1:11" x14ac:dyDescent="0.45">
      <c r="A68" s="12"/>
      <c r="C68" s="2"/>
      <c r="K68">
        <v>61307.601490757981</v>
      </c>
    </row>
    <row r="69" spans="1:11" x14ac:dyDescent="0.45">
      <c r="A69" s="12"/>
      <c r="C69" s="2"/>
      <c r="K69">
        <v>76997.045410253748</v>
      </c>
    </row>
    <row r="70" spans="1:11" x14ac:dyDescent="0.45">
      <c r="A70" s="12"/>
      <c r="C70" s="2"/>
      <c r="K70">
        <v>61852.936843980955</v>
      </c>
    </row>
    <row r="71" spans="1:11" x14ac:dyDescent="0.45">
      <c r="A71" s="12"/>
      <c r="C71" s="2"/>
      <c r="K71">
        <v>79231.010319780064</v>
      </c>
    </row>
    <row r="72" spans="1:11" x14ac:dyDescent="0.45">
      <c r="A72" s="12"/>
      <c r="C72" s="2"/>
      <c r="K72">
        <v>75846.261517080857</v>
      </c>
    </row>
    <row r="73" spans="1:11" x14ac:dyDescent="0.45">
      <c r="A73" s="12"/>
      <c r="C73" s="2"/>
      <c r="K73">
        <v>92169.169702581275</v>
      </c>
    </row>
    <row r="74" spans="1:11" x14ac:dyDescent="0.45">
      <c r="A74" s="12"/>
      <c r="C74" s="2"/>
      <c r="K74">
        <v>77822.444926018652</v>
      </c>
    </row>
    <row r="75" spans="1:11" x14ac:dyDescent="0.45">
      <c r="A75" s="12"/>
      <c r="C75" s="2"/>
      <c r="K75">
        <v>95321.146514194013</v>
      </c>
    </row>
    <row r="76" spans="1:11" x14ac:dyDescent="0.45">
      <c r="A76" s="12"/>
      <c r="C76" s="2"/>
      <c r="K76">
        <v>53216.730686045936</v>
      </c>
    </row>
    <row r="77" spans="1:11" x14ac:dyDescent="0.45">
      <c r="A77" s="12"/>
      <c r="C77" s="2"/>
      <c r="K77">
        <v>65855.05655651186</v>
      </c>
    </row>
    <row r="78" spans="1:11" x14ac:dyDescent="0.45">
      <c r="A78" s="12"/>
      <c r="C78" s="2"/>
      <c r="K78">
        <v>81570.272794236458</v>
      </c>
    </row>
    <row r="79" spans="1:11" x14ac:dyDescent="0.45">
      <c r="A79" s="12"/>
      <c r="C79" s="2"/>
      <c r="K79">
        <v>84444.646656479483</v>
      </c>
    </row>
    <row r="80" spans="1:11" x14ac:dyDescent="0.45">
      <c r="A80" s="12"/>
      <c r="C80" s="2"/>
      <c r="K80">
        <v>75431.985215353721</v>
      </c>
    </row>
    <row r="81" spans="1:11" x14ac:dyDescent="0.45">
      <c r="A81" s="12"/>
      <c r="C81" s="2"/>
      <c r="K81">
        <v>101089.53518076603</v>
      </c>
    </row>
    <row r="82" spans="1:11" x14ac:dyDescent="0.45">
      <c r="A82" s="12"/>
      <c r="C82" s="2"/>
      <c r="K82">
        <v>49737.558531212235</v>
      </c>
    </row>
    <row r="83" spans="1:11" x14ac:dyDescent="0.45">
      <c r="A83" s="12"/>
      <c r="C83" s="2"/>
      <c r="K83">
        <v>87826.779750253176</v>
      </c>
    </row>
    <row r="84" spans="1:11" x14ac:dyDescent="0.45">
      <c r="A84" s="12"/>
      <c r="K84">
        <v>75000.516882966636</v>
      </c>
    </row>
    <row r="85" spans="1:11" x14ac:dyDescent="0.45">
      <c r="A85" s="12"/>
      <c r="K85">
        <v>48543.922484419614</v>
      </c>
    </row>
    <row r="86" spans="1:11" x14ac:dyDescent="0.45">
      <c r="A86" s="12"/>
      <c r="K86">
        <v>65486.733681834878</v>
      </c>
    </row>
    <row r="87" spans="1:11" x14ac:dyDescent="0.45">
      <c r="A87" s="12"/>
      <c r="K87">
        <v>106187.06138449539</v>
      </c>
    </row>
    <row r="88" spans="1:11" x14ac:dyDescent="0.45">
      <c r="A88" s="12"/>
      <c r="K88">
        <v>64206.161798031775</v>
      </c>
    </row>
    <row r="89" spans="1:11" x14ac:dyDescent="0.45">
      <c r="A89" s="12"/>
      <c r="K89">
        <v>45722.376104575524</v>
      </c>
    </row>
    <row r="90" spans="1:11" x14ac:dyDescent="0.45">
      <c r="A90" s="12"/>
      <c r="K90">
        <v>40786.025195177535</v>
      </c>
    </row>
    <row r="91" spans="1:11" x14ac:dyDescent="0.45">
      <c r="A91" s="12"/>
      <c r="K91">
        <v>64674.833178918998</v>
      </c>
    </row>
    <row r="92" spans="1:11" x14ac:dyDescent="0.45">
      <c r="A92" s="12"/>
      <c r="K92">
        <v>64733.450198357197</v>
      </c>
    </row>
    <row r="93" spans="1:11" x14ac:dyDescent="0.45">
      <c r="A93" s="12"/>
      <c r="K93">
        <v>66267.455932230601</v>
      </c>
    </row>
    <row r="94" spans="1:11" x14ac:dyDescent="0.45">
      <c r="A94" s="12"/>
      <c r="K94">
        <v>68232.089591207128</v>
      </c>
    </row>
    <row r="95" spans="1:11" x14ac:dyDescent="0.45">
      <c r="A95" s="12"/>
      <c r="K95">
        <v>67836.290123126193</v>
      </c>
    </row>
    <row r="96" spans="1:11" x14ac:dyDescent="0.45">
      <c r="A96" s="12"/>
      <c r="K96">
        <v>79963.197795219356</v>
      </c>
    </row>
    <row r="97" spans="1:11" x14ac:dyDescent="0.45">
      <c r="A97" s="12"/>
      <c r="K97">
        <v>48996.637294496337</v>
      </c>
    </row>
    <row r="98" spans="1:11" x14ac:dyDescent="0.45">
      <c r="A98" s="12"/>
      <c r="K98">
        <v>49661.390191549704</v>
      </c>
    </row>
    <row r="99" spans="1:11" x14ac:dyDescent="0.45">
      <c r="A99" s="12"/>
      <c r="K99">
        <v>54135.793301390302</v>
      </c>
    </row>
    <row r="100" spans="1:11" x14ac:dyDescent="0.45">
      <c r="A100" s="12"/>
      <c r="K100">
        <v>51579.46061586927</v>
      </c>
    </row>
    <row r="101" spans="1:11" x14ac:dyDescent="0.45">
      <c r="A101" s="12"/>
      <c r="K101">
        <v>47418.789144704671</v>
      </c>
    </row>
    <row r="102" spans="1:11" x14ac:dyDescent="0.45">
      <c r="A102" s="12"/>
      <c r="K102">
        <v>85718.312579491467</v>
      </c>
    </row>
    <row r="103" spans="1:11" x14ac:dyDescent="0.45">
      <c r="A103" s="12"/>
      <c r="K103">
        <v>78502.457312109662</v>
      </c>
    </row>
    <row r="104" spans="1:11" x14ac:dyDescent="0.45">
      <c r="A104" s="12"/>
      <c r="K104">
        <v>87251.271918579936</v>
      </c>
    </row>
    <row r="105" spans="1:11" x14ac:dyDescent="0.45">
      <c r="A105" s="12"/>
      <c r="K105">
        <v>55986.772435249964</v>
      </c>
    </row>
    <row r="106" spans="1:11" x14ac:dyDescent="0.45">
      <c r="A106" s="12"/>
      <c r="K106">
        <v>92098.269261951602</v>
      </c>
    </row>
    <row r="107" spans="1:11" x14ac:dyDescent="0.45">
      <c r="A107" s="12"/>
      <c r="K107">
        <v>33920.49193932936</v>
      </c>
    </row>
    <row r="108" spans="1:11" x14ac:dyDescent="0.45">
      <c r="A108" s="12"/>
      <c r="K108">
        <v>72415.920816079277</v>
      </c>
    </row>
    <row r="109" spans="1:11" x14ac:dyDescent="0.45">
      <c r="A109" s="12"/>
      <c r="K109">
        <v>60975.444265582075</v>
      </c>
    </row>
    <row r="110" spans="1:11" x14ac:dyDescent="0.45">
      <c r="A110" s="12"/>
      <c r="K110">
        <v>60386.096276758224</v>
      </c>
    </row>
    <row r="111" spans="1:11" x14ac:dyDescent="0.45">
      <c r="A111" s="12"/>
      <c r="K111">
        <v>56159.592215723198</v>
      </c>
    </row>
    <row r="112" spans="1:11" x14ac:dyDescent="0.45">
      <c r="A112" s="12"/>
      <c r="K112">
        <v>49028.728886285826</v>
      </c>
    </row>
    <row r="113" spans="1:11" x14ac:dyDescent="0.45">
      <c r="A113" s="12"/>
      <c r="K113">
        <v>76441.421552633037</v>
      </c>
    </row>
    <row r="114" spans="1:11" x14ac:dyDescent="0.45">
      <c r="A114" s="12"/>
      <c r="K114">
        <v>70465.335684664518</v>
      </c>
    </row>
    <row r="115" spans="1:11" x14ac:dyDescent="0.45">
      <c r="B115">
        <f>SUM(B13:B114)</f>
        <v>1998</v>
      </c>
      <c r="K115">
        <v>88456.935531061346</v>
      </c>
    </row>
    <row r="116" spans="1:11" x14ac:dyDescent="0.45">
      <c r="K116">
        <v>91558.763232733894</v>
      </c>
    </row>
    <row r="117" spans="1:11" x14ac:dyDescent="0.45">
      <c r="K117">
        <v>54073.707899038694</v>
      </c>
    </row>
    <row r="118" spans="1:11" x14ac:dyDescent="0.45">
      <c r="K118">
        <v>34570.828941267042</v>
      </c>
    </row>
    <row r="119" spans="1:11" x14ac:dyDescent="0.45">
      <c r="K119">
        <v>73801.459374531099</v>
      </c>
    </row>
    <row r="120" spans="1:11" x14ac:dyDescent="0.45">
      <c r="K120">
        <v>85447.031601009192</v>
      </c>
    </row>
    <row r="121" spans="1:11" x14ac:dyDescent="0.45">
      <c r="K121">
        <v>39169.827510255695</v>
      </c>
    </row>
    <row r="122" spans="1:11" x14ac:dyDescent="0.45">
      <c r="K122">
        <v>69624.165034002915</v>
      </c>
    </row>
    <row r="123" spans="1:11" x14ac:dyDescent="0.45">
      <c r="K123">
        <v>76222.73721874434</v>
      </c>
    </row>
    <row r="124" spans="1:11" x14ac:dyDescent="0.45">
      <c r="K124">
        <v>85855.995973490732</v>
      </c>
    </row>
    <row r="125" spans="1:11" x14ac:dyDescent="0.45">
      <c r="K125">
        <v>77610.943984077792</v>
      </c>
    </row>
    <row r="126" spans="1:11" x14ac:dyDescent="0.45">
      <c r="K126">
        <v>61721.738570459333</v>
      </c>
    </row>
    <row r="127" spans="1:11" x14ac:dyDescent="0.45">
      <c r="K127">
        <v>52194.625985507766</v>
      </c>
    </row>
    <row r="128" spans="1:11" x14ac:dyDescent="0.45">
      <c r="K128">
        <v>72239.445710477623</v>
      </c>
    </row>
    <row r="129" spans="11:11" x14ac:dyDescent="0.45">
      <c r="K129">
        <v>86515.246411696018</v>
      </c>
    </row>
    <row r="130" spans="11:11" x14ac:dyDescent="0.45">
      <c r="K130">
        <v>90817.404903218237</v>
      </c>
    </row>
    <row r="131" spans="11:11" x14ac:dyDescent="0.45">
      <c r="K131">
        <v>71897.799819787208</v>
      </c>
    </row>
    <row r="132" spans="11:11" x14ac:dyDescent="0.45">
      <c r="K132">
        <v>76529.417645557507</v>
      </c>
    </row>
    <row r="133" spans="11:11" x14ac:dyDescent="0.45">
      <c r="K133">
        <v>55372.366821354</v>
      </c>
    </row>
    <row r="134" spans="11:11" x14ac:dyDescent="0.45">
      <c r="K134">
        <v>75718.921226011706</v>
      </c>
    </row>
    <row r="135" spans="11:11" x14ac:dyDescent="0.45">
      <c r="K135">
        <v>32285.149779524545</v>
      </c>
    </row>
    <row r="136" spans="11:11" x14ac:dyDescent="0.45">
      <c r="K136">
        <v>82973.369989775907</v>
      </c>
    </row>
    <row r="137" spans="11:11" x14ac:dyDescent="0.45">
      <c r="K137">
        <v>75947.969703311421</v>
      </c>
    </row>
    <row r="138" spans="11:11" x14ac:dyDescent="0.45">
      <c r="K138">
        <v>61950.182344171699</v>
      </c>
    </row>
    <row r="139" spans="11:11" x14ac:dyDescent="0.45">
      <c r="K139">
        <v>77829.317366312913</v>
      </c>
    </row>
    <row r="140" spans="11:11" x14ac:dyDescent="0.45">
      <c r="K140">
        <v>64888.82974448202</v>
      </c>
    </row>
    <row r="141" spans="11:11" x14ac:dyDescent="0.45">
      <c r="K141">
        <v>51010.021959259233</v>
      </c>
    </row>
    <row r="142" spans="11:11" x14ac:dyDescent="0.45">
      <c r="K142">
        <v>62188.397654586552</v>
      </c>
    </row>
    <row r="143" spans="11:11" x14ac:dyDescent="0.45">
      <c r="K143">
        <v>85354.668624836282</v>
      </c>
    </row>
    <row r="144" spans="11:11" x14ac:dyDescent="0.45">
      <c r="K144">
        <v>78428.98762162833</v>
      </c>
    </row>
    <row r="145" spans="11:11" x14ac:dyDescent="0.45">
      <c r="K145">
        <v>48460.829668493301</v>
      </c>
    </row>
    <row r="146" spans="11:11" x14ac:dyDescent="0.45">
      <c r="K146">
        <v>83932.748617513484</v>
      </c>
    </row>
    <row r="147" spans="11:11" x14ac:dyDescent="0.45">
      <c r="K147">
        <v>93915.746604109881</v>
      </c>
    </row>
    <row r="148" spans="11:11" x14ac:dyDescent="0.45">
      <c r="K148">
        <v>60021.916326796221</v>
      </c>
    </row>
    <row r="149" spans="11:11" x14ac:dyDescent="0.45">
      <c r="K149">
        <v>65558.306564168597</v>
      </c>
    </row>
    <row r="150" spans="11:11" x14ac:dyDescent="0.45">
      <c r="K150">
        <v>86439.096102885727</v>
      </c>
    </row>
    <row r="151" spans="11:11" x14ac:dyDescent="0.45">
      <c r="K151">
        <v>121725.42245772657</v>
      </c>
    </row>
    <row r="152" spans="11:11" x14ac:dyDescent="0.45">
      <c r="K152">
        <v>83578.214941957005</v>
      </c>
    </row>
    <row r="153" spans="11:11" x14ac:dyDescent="0.45">
      <c r="K153">
        <v>65682.182256394735</v>
      </c>
    </row>
    <row r="154" spans="11:11" x14ac:dyDescent="0.45">
      <c r="K154">
        <v>77455.755533610907</v>
      </c>
    </row>
    <row r="155" spans="11:11" x14ac:dyDescent="0.45">
      <c r="K155">
        <v>98681.348000124737</v>
      </c>
    </row>
    <row r="156" spans="11:11" x14ac:dyDescent="0.45">
      <c r="K156">
        <v>87894.789070273313</v>
      </c>
    </row>
    <row r="157" spans="11:11" x14ac:dyDescent="0.45">
      <c r="K157">
        <v>52758.174611549795</v>
      </c>
    </row>
    <row r="158" spans="11:11" x14ac:dyDescent="0.45">
      <c r="K158">
        <v>73419.161361348466</v>
      </c>
    </row>
    <row r="159" spans="11:11" x14ac:dyDescent="0.45">
      <c r="K159">
        <v>64964.059857506538</v>
      </c>
    </row>
    <row r="160" spans="11:11" x14ac:dyDescent="0.45">
      <c r="K160">
        <v>71879.712997737166</v>
      </c>
    </row>
    <row r="161" spans="11:11" x14ac:dyDescent="0.45">
      <c r="K161">
        <v>72490.062937954572</v>
      </c>
    </row>
    <row r="162" spans="11:11" x14ac:dyDescent="0.45">
      <c r="K162">
        <v>75432.955492793088</v>
      </c>
    </row>
    <row r="163" spans="11:11" x14ac:dyDescent="0.45">
      <c r="K163">
        <v>46992.622916112232</v>
      </c>
    </row>
    <row r="164" spans="11:11" x14ac:dyDescent="0.45">
      <c r="K164">
        <v>84151.265772031329</v>
      </c>
    </row>
    <row r="165" spans="11:11" x14ac:dyDescent="0.45">
      <c r="K165">
        <v>76318.103139973988</v>
      </c>
    </row>
    <row r="166" spans="11:11" x14ac:dyDescent="0.45">
      <c r="K166">
        <v>61368.891393891296</v>
      </c>
    </row>
    <row r="167" spans="11:11" x14ac:dyDescent="0.45">
      <c r="K167">
        <v>42668.275366158567</v>
      </c>
    </row>
    <row r="168" spans="11:11" x14ac:dyDescent="0.45">
      <c r="K168">
        <v>75223.868016126769</v>
      </c>
    </row>
    <row r="169" spans="11:11" x14ac:dyDescent="0.45">
      <c r="K169">
        <v>56641.945855896432</v>
      </c>
    </row>
    <row r="170" spans="11:11" x14ac:dyDescent="0.45">
      <c r="K170">
        <v>61552.189523857669</v>
      </c>
    </row>
    <row r="171" spans="11:11" x14ac:dyDescent="0.45">
      <c r="K171">
        <v>51429.976569943428</v>
      </c>
    </row>
    <row r="172" spans="11:11" x14ac:dyDescent="0.45">
      <c r="K172">
        <v>60420.195782842289</v>
      </c>
    </row>
    <row r="173" spans="11:11" x14ac:dyDescent="0.45">
      <c r="K173">
        <v>79905.275878324814</v>
      </c>
    </row>
    <row r="174" spans="11:11" x14ac:dyDescent="0.45">
      <c r="K174">
        <v>43623.601875521912</v>
      </c>
    </row>
    <row r="175" spans="11:11" x14ac:dyDescent="0.45">
      <c r="K175">
        <v>71607.788892725861</v>
      </c>
    </row>
    <row r="176" spans="11:11" x14ac:dyDescent="0.45">
      <c r="K176">
        <v>70324.956112199841</v>
      </c>
    </row>
    <row r="177" spans="11:11" x14ac:dyDescent="0.45">
      <c r="K177">
        <v>73596.407799576249</v>
      </c>
    </row>
    <row r="178" spans="11:11" x14ac:dyDescent="0.45">
      <c r="K178">
        <v>62883.618896484011</v>
      </c>
    </row>
    <row r="179" spans="11:11" x14ac:dyDescent="0.45">
      <c r="K179">
        <v>49174.76129839498</v>
      </c>
    </row>
    <row r="180" spans="11:11" x14ac:dyDescent="0.45">
      <c r="K180">
        <v>78090.412858638898</v>
      </c>
    </row>
    <row r="181" spans="11:11" x14ac:dyDescent="0.45">
      <c r="K181">
        <v>58512.520688069024</v>
      </c>
    </row>
    <row r="182" spans="11:11" x14ac:dyDescent="0.45">
      <c r="K182">
        <v>47167.440311089566</v>
      </c>
    </row>
    <row r="183" spans="11:11" x14ac:dyDescent="0.45">
      <c r="K183">
        <v>67630.256619028834</v>
      </c>
    </row>
    <row r="184" spans="11:11" x14ac:dyDescent="0.45">
      <c r="K184">
        <v>63004.691719844835</v>
      </c>
    </row>
    <row r="185" spans="11:11" x14ac:dyDescent="0.45">
      <c r="K185">
        <v>68940.149662645956</v>
      </c>
    </row>
    <row r="186" spans="11:11" x14ac:dyDescent="0.45">
      <c r="K186">
        <v>85498.751707914518</v>
      </c>
    </row>
    <row r="187" spans="11:11" x14ac:dyDescent="0.45">
      <c r="K187">
        <v>61770.004184093341</v>
      </c>
    </row>
    <row r="188" spans="11:11" x14ac:dyDescent="0.45">
      <c r="K188">
        <v>47604.082320396497</v>
      </c>
    </row>
    <row r="189" spans="11:11" x14ac:dyDescent="0.45">
      <c r="K189">
        <v>13579.435725066054</v>
      </c>
    </row>
    <row r="190" spans="11:11" x14ac:dyDescent="0.45">
      <c r="K190">
        <v>88073.788382720915</v>
      </c>
    </row>
    <row r="191" spans="11:11" x14ac:dyDescent="0.45">
      <c r="K191">
        <v>72148.675628742916</v>
      </c>
    </row>
    <row r="192" spans="11:11" x14ac:dyDescent="0.45">
      <c r="K192">
        <v>60116.117260115214</v>
      </c>
    </row>
    <row r="193" spans="11:11" x14ac:dyDescent="0.45">
      <c r="K193">
        <v>33214.88353576295</v>
      </c>
    </row>
    <row r="194" spans="11:11" x14ac:dyDescent="0.45">
      <c r="K194">
        <v>98676.251536517215</v>
      </c>
    </row>
    <row r="195" spans="11:11" x14ac:dyDescent="0.45">
      <c r="K195">
        <v>34901.347685846173</v>
      </c>
    </row>
    <row r="196" spans="11:11" x14ac:dyDescent="0.45">
      <c r="K196">
        <v>48286.916682128169</v>
      </c>
    </row>
    <row r="197" spans="11:11" x14ac:dyDescent="0.45">
      <c r="K197">
        <v>68489.322362279519</v>
      </c>
    </row>
    <row r="198" spans="11:11" x14ac:dyDescent="0.45">
      <c r="K198">
        <v>54290.747466834058</v>
      </c>
    </row>
    <row r="199" spans="11:11" x14ac:dyDescent="0.45">
      <c r="K199">
        <v>65731.988374573484</v>
      </c>
    </row>
    <row r="200" spans="11:11" x14ac:dyDescent="0.45">
      <c r="K200">
        <v>92578.203496896749</v>
      </c>
    </row>
    <row r="201" spans="11:11" x14ac:dyDescent="0.45">
      <c r="K201">
        <v>77997.756468556414</v>
      </c>
    </row>
    <row r="202" spans="11:11" x14ac:dyDescent="0.45">
      <c r="K202">
        <v>59593.728575549801</v>
      </c>
    </row>
    <row r="203" spans="11:11" x14ac:dyDescent="0.45">
      <c r="K203">
        <v>105570.65214338494</v>
      </c>
    </row>
    <row r="204" spans="11:11" x14ac:dyDescent="0.45">
      <c r="K204">
        <v>87644.543826639347</v>
      </c>
    </row>
    <row r="205" spans="11:11" x14ac:dyDescent="0.45">
      <c r="K205">
        <v>62023.703979128004</v>
      </c>
    </row>
    <row r="206" spans="11:11" x14ac:dyDescent="0.45">
      <c r="K206">
        <v>57540.184923763423</v>
      </c>
    </row>
    <row r="207" spans="11:11" x14ac:dyDescent="0.45">
      <c r="K207">
        <v>88245.60598215663</v>
      </c>
    </row>
    <row r="208" spans="11:11" x14ac:dyDescent="0.45">
      <c r="K208">
        <v>67577.14126749296</v>
      </c>
    </row>
    <row r="209" spans="11:11" x14ac:dyDescent="0.45">
      <c r="K209">
        <v>79211.891204952568</v>
      </c>
    </row>
    <row r="210" spans="11:11" x14ac:dyDescent="0.45">
      <c r="K210">
        <v>77028.562435643689</v>
      </c>
    </row>
    <row r="211" spans="11:11" x14ac:dyDescent="0.45">
      <c r="K211">
        <v>52313.674772537139</v>
      </c>
    </row>
    <row r="212" spans="11:11" x14ac:dyDescent="0.45">
      <c r="K212">
        <v>73007.446991196237</v>
      </c>
    </row>
    <row r="213" spans="11:11" x14ac:dyDescent="0.45">
      <c r="K213">
        <v>80564.827999534056</v>
      </c>
    </row>
    <row r="214" spans="11:11" x14ac:dyDescent="0.45">
      <c r="K214">
        <v>65425.911444352299</v>
      </c>
    </row>
    <row r="215" spans="11:11" x14ac:dyDescent="0.45">
      <c r="K215">
        <v>82160.114259706083</v>
      </c>
    </row>
    <row r="216" spans="11:11" x14ac:dyDescent="0.45">
      <c r="K216">
        <v>67042.454634771479</v>
      </c>
    </row>
    <row r="217" spans="11:11" x14ac:dyDescent="0.45">
      <c r="K217">
        <v>84130.974112575466</v>
      </c>
    </row>
    <row r="218" spans="11:11" x14ac:dyDescent="0.45">
      <c r="K218">
        <v>58933.789341012511</v>
      </c>
    </row>
    <row r="219" spans="11:11" x14ac:dyDescent="0.45">
      <c r="K219">
        <v>97412.900722061881</v>
      </c>
    </row>
    <row r="220" spans="11:11" x14ac:dyDescent="0.45">
      <c r="K220">
        <v>55608.179863785088</v>
      </c>
    </row>
    <row r="221" spans="11:11" x14ac:dyDescent="0.45">
      <c r="K221">
        <v>57803.415243095973</v>
      </c>
    </row>
    <row r="222" spans="11:11" x14ac:dyDescent="0.45">
      <c r="K222">
        <v>57203.783954445513</v>
      </c>
    </row>
    <row r="223" spans="11:11" x14ac:dyDescent="0.45">
      <c r="K223">
        <v>101783.39466382979</v>
      </c>
    </row>
    <row r="224" spans="11:11" x14ac:dyDescent="0.45">
      <c r="K224">
        <v>46119.303631776216</v>
      </c>
    </row>
    <row r="225" spans="11:11" x14ac:dyDescent="0.45">
      <c r="K225">
        <v>77669.777933540739</v>
      </c>
    </row>
    <row r="226" spans="11:11" x14ac:dyDescent="0.45">
      <c r="K226">
        <v>79288.798215466042</v>
      </c>
    </row>
    <row r="227" spans="11:11" x14ac:dyDescent="0.45">
      <c r="K227">
        <v>44422.362351542368</v>
      </c>
    </row>
    <row r="228" spans="11:11" x14ac:dyDescent="0.45">
      <c r="K228">
        <v>91849.107243418897</v>
      </c>
    </row>
    <row r="229" spans="11:11" x14ac:dyDescent="0.45">
      <c r="K229">
        <v>53413.588395686747</v>
      </c>
    </row>
    <row r="230" spans="11:11" x14ac:dyDescent="0.45">
      <c r="K230">
        <v>44747.044767208601</v>
      </c>
    </row>
    <row r="231" spans="11:11" x14ac:dyDescent="0.45">
      <c r="K231">
        <v>89978.465012524859</v>
      </c>
    </row>
    <row r="232" spans="11:11" x14ac:dyDescent="0.45">
      <c r="K232">
        <v>71001.430470806328</v>
      </c>
    </row>
    <row r="233" spans="11:11" x14ac:dyDescent="0.45">
      <c r="K233">
        <v>42380.347451296693</v>
      </c>
    </row>
    <row r="234" spans="11:11" x14ac:dyDescent="0.45">
      <c r="K234">
        <v>92248.559826635494</v>
      </c>
    </row>
    <row r="235" spans="11:11" x14ac:dyDescent="0.45">
      <c r="K235">
        <v>96497.753774280674</v>
      </c>
    </row>
    <row r="236" spans="11:11" x14ac:dyDescent="0.45">
      <c r="K236">
        <v>57674.469338822521</v>
      </c>
    </row>
    <row r="237" spans="11:11" x14ac:dyDescent="0.45">
      <c r="K237">
        <v>67005.741728899156</v>
      </c>
    </row>
    <row r="238" spans="11:11" x14ac:dyDescent="0.45">
      <c r="K238">
        <v>53316.662386064745</v>
      </c>
    </row>
    <row r="239" spans="11:11" x14ac:dyDescent="0.45">
      <c r="K239">
        <v>48683.167390583068</v>
      </c>
    </row>
    <row r="240" spans="11:11" x14ac:dyDescent="0.45">
      <c r="K240">
        <v>101675.72483644873</v>
      </c>
    </row>
    <row r="241" spans="11:11" x14ac:dyDescent="0.45">
      <c r="K241">
        <v>65588.798866982077</v>
      </c>
    </row>
    <row r="242" spans="11:11" x14ac:dyDescent="0.45">
      <c r="K242">
        <v>71330.682277765576</v>
      </c>
    </row>
    <row r="243" spans="11:11" x14ac:dyDescent="0.45">
      <c r="K243">
        <v>60282.168240232459</v>
      </c>
    </row>
    <row r="244" spans="11:11" x14ac:dyDescent="0.45">
      <c r="K244">
        <v>84972.115626115337</v>
      </c>
    </row>
    <row r="245" spans="11:11" x14ac:dyDescent="0.45">
      <c r="K245">
        <v>97584.676881143314</v>
      </c>
    </row>
    <row r="246" spans="11:11" x14ac:dyDescent="0.45">
      <c r="K246">
        <v>59220.338370752201</v>
      </c>
    </row>
    <row r="247" spans="11:11" x14ac:dyDescent="0.45">
      <c r="K247">
        <v>57862.979607660091</v>
      </c>
    </row>
    <row r="248" spans="11:11" x14ac:dyDescent="0.45">
      <c r="K248">
        <v>74581.071310944972</v>
      </c>
    </row>
    <row r="249" spans="11:11" x14ac:dyDescent="0.45">
      <c r="K249">
        <v>58216.844907955048</v>
      </c>
    </row>
    <row r="250" spans="11:11" x14ac:dyDescent="0.45">
      <c r="K250">
        <v>47672.170434670916</v>
      </c>
    </row>
    <row r="251" spans="11:11" x14ac:dyDescent="0.45">
      <c r="K251">
        <v>54057.06444130111</v>
      </c>
    </row>
    <row r="252" spans="11:11" x14ac:dyDescent="0.45">
      <c r="K252">
        <v>90585.840810784386</v>
      </c>
    </row>
    <row r="253" spans="11:11" x14ac:dyDescent="0.45">
      <c r="K253">
        <v>79883.162183046705</v>
      </c>
    </row>
    <row r="254" spans="11:11" x14ac:dyDescent="0.45">
      <c r="K254">
        <v>46650.614548926802</v>
      </c>
    </row>
    <row r="255" spans="11:11" x14ac:dyDescent="0.45">
      <c r="K255">
        <v>78832.789119575697</v>
      </c>
    </row>
    <row r="256" spans="11:11" x14ac:dyDescent="0.45">
      <c r="K256">
        <v>57677.001214489239</v>
      </c>
    </row>
    <row r="257" spans="11:11" x14ac:dyDescent="0.45">
      <c r="K257">
        <v>83320.02148004857</v>
      </c>
    </row>
    <row r="258" spans="11:11" x14ac:dyDescent="0.45">
      <c r="K258">
        <v>70852.684470786277</v>
      </c>
    </row>
    <row r="259" spans="11:11" x14ac:dyDescent="0.45">
      <c r="K259">
        <v>59406.152097807855</v>
      </c>
    </row>
    <row r="260" spans="11:11" x14ac:dyDescent="0.45">
      <c r="K260">
        <v>33390.11509591958</v>
      </c>
    </row>
    <row r="261" spans="11:11" x14ac:dyDescent="0.45">
      <c r="K261">
        <v>73662.078629624244</v>
      </c>
    </row>
    <row r="262" spans="11:11" x14ac:dyDescent="0.45">
      <c r="K262">
        <v>72242.072080092927</v>
      </c>
    </row>
    <row r="263" spans="11:11" x14ac:dyDescent="0.45">
      <c r="K263">
        <v>70912.464944771142</v>
      </c>
    </row>
    <row r="264" spans="11:11" x14ac:dyDescent="0.45">
      <c r="K264">
        <v>97507.931148895848</v>
      </c>
    </row>
    <row r="265" spans="11:11" x14ac:dyDescent="0.45">
      <c r="K265">
        <v>79667.983972204413</v>
      </c>
    </row>
    <row r="266" spans="11:11" x14ac:dyDescent="0.45">
      <c r="K266">
        <v>65051.601433602424</v>
      </c>
    </row>
    <row r="267" spans="11:11" x14ac:dyDescent="0.45">
      <c r="K267">
        <v>86892.627549449418</v>
      </c>
    </row>
    <row r="268" spans="11:11" x14ac:dyDescent="0.45">
      <c r="K268">
        <v>63341.671839410956</v>
      </c>
    </row>
    <row r="269" spans="11:11" x14ac:dyDescent="0.45">
      <c r="K269">
        <v>89662.179158542378</v>
      </c>
    </row>
    <row r="270" spans="11:11" x14ac:dyDescent="0.45">
      <c r="K270">
        <v>69697.67346123232</v>
      </c>
    </row>
    <row r="271" spans="11:11" x14ac:dyDescent="0.45">
      <c r="K271">
        <v>65420.320086249456</v>
      </c>
    </row>
    <row r="272" spans="11:11" x14ac:dyDescent="0.45">
      <c r="K272">
        <v>49560.227494190214</v>
      </c>
    </row>
    <row r="273" spans="11:11" x14ac:dyDescent="0.45">
      <c r="K273">
        <v>85814.724812104148</v>
      </c>
    </row>
    <row r="274" spans="11:11" x14ac:dyDescent="0.45">
      <c r="K274">
        <v>73123.376769791284</v>
      </c>
    </row>
    <row r="275" spans="11:11" x14ac:dyDescent="0.45">
      <c r="K275">
        <v>64765.785934953696</v>
      </c>
    </row>
    <row r="276" spans="11:11" x14ac:dyDescent="0.45">
      <c r="K276">
        <v>56922.619131332343</v>
      </c>
    </row>
    <row r="277" spans="11:11" x14ac:dyDescent="0.45">
      <c r="K277">
        <v>78470.816476286607</v>
      </c>
    </row>
    <row r="278" spans="11:11" x14ac:dyDescent="0.45">
      <c r="K278">
        <v>83785.834013805739</v>
      </c>
    </row>
    <row r="279" spans="11:11" x14ac:dyDescent="0.45">
      <c r="K279">
        <v>65281.514456633144</v>
      </c>
    </row>
    <row r="280" spans="11:11" x14ac:dyDescent="0.45">
      <c r="K280">
        <v>40142.415806852601</v>
      </c>
    </row>
    <row r="281" spans="11:11" x14ac:dyDescent="0.45">
      <c r="K281">
        <v>95345.947692634014</v>
      </c>
    </row>
    <row r="282" spans="11:11" x14ac:dyDescent="0.45">
      <c r="K282">
        <v>90331.532986579987</v>
      </c>
    </row>
    <row r="283" spans="11:11" x14ac:dyDescent="0.45">
      <c r="K283">
        <v>71399.700974357489</v>
      </c>
    </row>
    <row r="284" spans="11:11" x14ac:dyDescent="0.45">
      <c r="K284">
        <v>73750.859525234104</v>
      </c>
    </row>
    <row r="285" spans="11:11" x14ac:dyDescent="0.45">
      <c r="K285">
        <v>69170.542864192204</v>
      </c>
    </row>
    <row r="286" spans="11:11" x14ac:dyDescent="0.45">
      <c r="K286">
        <v>86113.079734237836</v>
      </c>
    </row>
    <row r="287" spans="11:11" x14ac:dyDescent="0.45">
      <c r="K287">
        <v>51883.645885489284</v>
      </c>
    </row>
    <row r="288" spans="11:11" x14ac:dyDescent="0.45">
      <c r="K288">
        <v>46404.566379239594</v>
      </c>
    </row>
    <row r="289" spans="11:11" x14ac:dyDescent="0.45">
      <c r="K289">
        <v>63161.366331207406</v>
      </c>
    </row>
    <row r="290" spans="11:11" x14ac:dyDescent="0.45">
      <c r="K290">
        <v>64926.962668547982</v>
      </c>
    </row>
    <row r="291" spans="11:11" x14ac:dyDescent="0.45">
      <c r="K291">
        <v>68974.337364598265</v>
      </c>
    </row>
    <row r="292" spans="11:11" x14ac:dyDescent="0.45">
      <c r="K292">
        <v>80865.070204133895</v>
      </c>
    </row>
    <row r="293" spans="11:11" x14ac:dyDescent="0.45">
      <c r="K293">
        <v>45689.250289373529</v>
      </c>
    </row>
    <row r="294" spans="11:11" x14ac:dyDescent="0.45">
      <c r="K294">
        <v>49447.739199943593</v>
      </c>
    </row>
    <row r="295" spans="11:11" x14ac:dyDescent="0.45">
      <c r="K295">
        <v>46092.55721251513</v>
      </c>
    </row>
    <row r="296" spans="11:11" x14ac:dyDescent="0.45">
      <c r="K296">
        <v>56979.41201280606</v>
      </c>
    </row>
    <row r="297" spans="11:11" x14ac:dyDescent="0.45">
      <c r="K297">
        <v>63308.801781057467</v>
      </c>
    </row>
    <row r="298" spans="11:11" x14ac:dyDescent="0.45">
      <c r="K298">
        <v>76712.763164021919</v>
      </c>
    </row>
    <row r="299" spans="11:11" x14ac:dyDescent="0.45">
      <c r="K299">
        <v>91825.672551422293</v>
      </c>
    </row>
    <row r="300" spans="11:11" x14ac:dyDescent="0.45">
      <c r="K300">
        <v>68331.227174943357</v>
      </c>
    </row>
    <row r="301" spans="11:11" x14ac:dyDescent="0.45">
      <c r="K301">
        <v>73243.660577230985</v>
      </c>
    </row>
    <row r="302" spans="11:11" x14ac:dyDescent="0.45">
      <c r="K302">
        <v>62445.658681064582</v>
      </c>
    </row>
    <row r="303" spans="11:11" x14ac:dyDescent="0.45">
      <c r="K303">
        <v>24083.369346453859</v>
      </c>
    </row>
    <row r="304" spans="11:11" x14ac:dyDescent="0.45">
      <c r="K304">
        <v>70420.876952650331</v>
      </c>
    </row>
    <row r="305" spans="11:11" x14ac:dyDescent="0.45">
      <c r="K305">
        <v>71198.737616521685</v>
      </c>
    </row>
    <row r="306" spans="11:11" x14ac:dyDescent="0.45">
      <c r="K306">
        <v>86162.565846528349</v>
      </c>
    </row>
    <row r="307" spans="11:11" x14ac:dyDescent="0.45">
      <c r="K307">
        <v>54732.807954515913</v>
      </c>
    </row>
    <row r="308" spans="11:11" x14ac:dyDescent="0.45">
      <c r="K308">
        <v>103644.23143593392</v>
      </c>
    </row>
    <row r="309" spans="11:11" x14ac:dyDescent="0.45">
      <c r="K309">
        <v>61390.500692085639</v>
      </c>
    </row>
    <row r="310" spans="11:11" x14ac:dyDescent="0.45">
      <c r="K310">
        <v>48577.436783942518</v>
      </c>
    </row>
    <row r="311" spans="11:11" x14ac:dyDescent="0.45">
      <c r="K311">
        <v>73901.893593889239</v>
      </c>
    </row>
    <row r="312" spans="11:11" x14ac:dyDescent="0.45">
      <c r="K312">
        <v>98171.616373696161</v>
      </c>
    </row>
    <row r="313" spans="11:11" x14ac:dyDescent="0.45">
      <c r="K313">
        <v>64609.480063973919</v>
      </c>
    </row>
    <row r="314" spans="11:11" x14ac:dyDescent="0.45">
      <c r="K314">
        <v>40283.901576011936</v>
      </c>
    </row>
    <row r="315" spans="11:11" x14ac:dyDescent="0.45">
      <c r="K315">
        <v>43469.466432583722</v>
      </c>
    </row>
    <row r="316" spans="11:11" x14ac:dyDescent="0.45">
      <c r="K316">
        <v>50594.238923634606</v>
      </c>
    </row>
    <row r="317" spans="11:11" x14ac:dyDescent="0.45">
      <c r="K317">
        <v>37217.95468091678</v>
      </c>
    </row>
    <row r="318" spans="11:11" x14ac:dyDescent="0.45">
      <c r="K318">
        <v>69613.450122675655</v>
      </c>
    </row>
    <row r="319" spans="11:11" x14ac:dyDescent="0.45">
      <c r="K319">
        <v>37382.591164590143</v>
      </c>
    </row>
    <row r="320" spans="11:11" x14ac:dyDescent="0.45">
      <c r="K320">
        <v>74456.013671898458</v>
      </c>
    </row>
    <row r="321" spans="11:11" x14ac:dyDescent="0.45">
      <c r="K321">
        <v>65975.86578549174</v>
      </c>
    </row>
    <row r="322" spans="11:11" x14ac:dyDescent="0.45">
      <c r="K322">
        <v>65566.584855663794</v>
      </c>
    </row>
    <row r="323" spans="11:11" x14ac:dyDescent="0.45">
      <c r="K323">
        <v>65557.694100880151</v>
      </c>
    </row>
    <row r="324" spans="11:11" x14ac:dyDescent="0.45">
      <c r="K324">
        <v>63696.79244076246</v>
      </c>
    </row>
    <row r="325" spans="11:11" x14ac:dyDescent="0.45">
      <c r="K325">
        <v>71813.671991688127</v>
      </c>
    </row>
    <row r="326" spans="11:11" x14ac:dyDescent="0.45">
      <c r="K326">
        <v>50737.795974029366</v>
      </c>
    </row>
    <row r="327" spans="11:11" x14ac:dyDescent="0.45">
      <c r="K327">
        <v>35071.352552928322</v>
      </c>
    </row>
    <row r="328" spans="11:11" x14ac:dyDescent="0.45">
      <c r="K328">
        <v>73714.898240712515</v>
      </c>
    </row>
    <row r="329" spans="11:11" x14ac:dyDescent="0.45">
      <c r="K329">
        <v>56154.854473406413</v>
      </c>
    </row>
    <row r="330" spans="11:11" x14ac:dyDescent="0.45">
      <c r="K330">
        <v>63124.060356028916</v>
      </c>
    </row>
    <row r="331" spans="11:11" x14ac:dyDescent="0.45">
      <c r="K331">
        <v>68446.272404766467</v>
      </c>
    </row>
    <row r="332" spans="11:11" x14ac:dyDescent="0.45">
      <c r="K332">
        <v>71024.949030344826</v>
      </c>
    </row>
    <row r="333" spans="11:11" x14ac:dyDescent="0.45">
      <c r="K333">
        <v>76452.470737779935</v>
      </c>
    </row>
    <row r="334" spans="11:11" x14ac:dyDescent="0.45">
      <c r="K334">
        <v>61652.317615377622</v>
      </c>
    </row>
    <row r="335" spans="11:11" x14ac:dyDescent="0.45">
      <c r="K335">
        <v>71149.289558275777</v>
      </c>
    </row>
    <row r="336" spans="11:11" x14ac:dyDescent="0.45">
      <c r="K336">
        <v>64436.925387383737</v>
      </c>
    </row>
    <row r="337" spans="11:11" x14ac:dyDescent="0.45">
      <c r="K337">
        <v>94866.408332191975</v>
      </c>
    </row>
    <row r="338" spans="11:11" x14ac:dyDescent="0.45">
      <c r="K338">
        <v>76672.529822206678</v>
      </c>
    </row>
    <row r="339" spans="11:11" x14ac:dyDescent="0.45">
      <c r="K339">
        <v>71592.93063425897</v>
      </c>
    </row>
    <row r="340" spans="11:11" x14ac:dyDescent="0.45">
      <c r="K340">
        <v>99573.072787335463</v>
      </c>
    </row>
    <row r="341" spans="11:11" x14ac:dyDescent="0.45">
      <c r="K341">
        <v>60289.387641388748</v>
      </c>
    </row>
    <row r="342" spans="11:11" x14ac:dyDescent="0.45">
      <c r="K342">
        <v>47784.756173741298</v>
      </c>
    </row>
    <row r="343" spans="11:11" x14ac:dyDescent="0.45">
      <c r="K343">
        <v>43591.306276005285</v>
      </c>
    </row>
    <row r="344" spans="11:11" x14ac:dyDescent="0.45">
      <c r="K344">
        <v>86575.412989843462</v>
      </c>
    </row>
    <row r="345" spans="11:11" x14ac:dyDescent="0.45">
      <c r="K345">
        <v>79189.175135696656</v>
      </c>
    </row>
    <row r="346" spans="11:11" x14ac:dyDescent="0.45">
      <c r="K346">
        <v>80669.143784914195</v>
      </c>
    </row>
    <row r="347" spans="11:11" x14ac:dyDescent="0.45">
      <c r="K347">
        <v>22952.001035353882</v>
      </c>
    </row>
    <row r="348" spans="11:11" x14ac:dyDescent="0.45">
      <c r="K348">
        <v>60224.233506139004</v>
      </c>
    </row>
    <row r="349" spans="11:11" x14ac:dyDescent="0.45">
      <c r="K349">
        <v>82140.977387357518</v>
      </c>
    </row>
    <row r="350" spans="11:11" x14ac:dyDescent="0.45">
      <c r="K350">
        <v>51342.655688869774</v>
      </c>
    </row>
    <row r="351" spans="11:11" x14ac:dyDescent="0.45">
      <c r="K351">
        <v>73459.003552558454</v>
      </c>
    </row>
    <row r="352" spans="11:11" x14ac:dyDescent="0.45">
      <c r="K352">
        <v>83614.543071483218</v>
      </c>
    </row>
    <row r="353" spans="11:11" x14ac:dyDescent="0.45">
      <c r="K353">
        <v>57624.236380300747</v>
      </c>
    </row>
    <row r="354" spans="11:11" x14ac:dyDescent="0.45">
      <c r="K354">
        <v>87313.89479388218</v>
      </c>
    </row>
    <row r="355" spans="11:11" x14ac:dyDescent="0.45">
      <c r="K355">
        <v>74765.30117708724</v>
      </c>
    </row>
    <row r="356" spans="11:11" x14ac:dyDescent="0.45">
      <c r="K356">
        <v>70560.403541455249</v>
      </c>
    </row>
    <row r="357" spans="11:11" x14ac:dyDescent="0.45">
      <c r="K357">
        <v>64749.255819635546</v>
      </c>
    </row>
    <row r="358" spans="11:11" x14ac:dyDescent="0.45">
      <c r="K358">
        <v>54880.23363066795</v>
      </c>
    </row>
    <row r="359" spans="11:11" x14ac:dyDescent="0.45">
      <c r="K359">
        <v>31880.216858749322</v>
      </c>
    </row>
    <row r="360" spans="11:11" x14ac:dyDescent="0.45">
      <c r="K360">
        <v>66098.725022827435</v>
      </c>
    </row>
    <row r="361" spans="11:11" x14ac:dyDescent="0.45">
      <c r="K361">
        <v>99209.469003656748</v>
      </c>
    </row>
    <row r="362" spans="11:11" x14ac:dyDescent="0.45">
      <c r="K362">
        <v>37618.606717108356</v>
      </c>
    </row>
    <row r="363" spans="11:11" x14ac:dyDescent="0.45">
      <c r="K363">
        <v>41901.269117674892</v>
      </c>
    </row>
    <row r="364" spans="11:11" x14ac:dyDescent="0.45">
      <c r="K364">
        <v>76595.777527339829</v>
      </c>
    </row>
    <row r="365" spans="11:11" x14ac:dyDescent="0.45">
      <c r="K365">
        <v>84226.949541289287</v>
      </c>
    </row>
    <row r="366" spans="11:11" x14ac:dyDescent="0.45">
      <c r="K366">
        <v>71734.413144696679</v>
      </c>
    </row>
    <row r="367" spans="11:11" x14ac:dyDescent="0.45">
      <c r="K367">
        <v>56541.638083857979</v>
      </c>
    </row>
    <row r="368" spans="11:11" x14ac:dyDescent="0.45">
      <c r="K368">
        <v>70524.518914222863</v>
      </c>
    </row>
    <row r="369" spans="11:11" x14ac:dyDescent="0.45">
      <c r="K369">
        <v>77422.99855243176</v>
      </c>
    </row>
    <row r="370" spans="11:11" x14ac:dyDescent="0.45">
      <c r="K370">
        <v>56512.78607011577</v>
      </c>
    </row>
    <row r="371" spans="11:11" x14ac:dyDescent="0.45">
      <c r="K371">
        <v>39487.419044335038</v>
      </c>
    </row>
    <row r="372" spans="11:11" x14ac:dyDescent="0.45">
      <c r="K372">
        <v>44591.551215832718</v>
      </c>
    </row>
    <row r="373" spans="11:11" x14ac:dyDescent="0.45">
      <c r="K373">
        <v>69643.461739609149</v>
      </c>
    </row>
    <row r="374" spans="11:11" x14ac:dyDescent="0.45">
      <c r="K374">
        <v>89423.37742837629</v>
      </c>
    </row>
    <row r="375" spans="11:11" x14ac:dyDescent="0.45">
      <c r="K375">
        <v>84833.464606385052</v>
      </c>
    </row>
    <row r="376" spans="11:11" x14ac:dyDescent="0.45">
      <c r="K376">
        <v>56494.92953437542</v>
      </c>
    </row>
    <row r="377" spans="11:11" x14ac:dyDescent="0.45">
      <c r="K377">
        <v>56897.080653318735</v>
      </c>
    </row>
    <row r="378" spans="11:11" x14ac:dyDescent="0.45">
      <c r="K378">
        <v>75262.234737184554</v>
      </c>
    </row>
    <row r="379" spans="11:11" x14ac:dyDescent="0.45">
      <c r="K379">
        <v>30588.018625692232</v>
      </c>
    </row>
    <row r="380" spans="11:11" x14ac:dyDescent="0.45">
      <c r="K380">
        <v>72594.569906146062</v>
      </c>
    </row>
    <row r="381" spans="11:11" x14ac:dyDescent="0.45">
      <c r="K381">
        <v>64086.562999378373</v>
      </c>
    </row>
    <row r="382" spans="11:11" x14ac:dyDescent="0.45">
      <c r="K382">
        <v>77158.332359378488</v>
      </c>
    </row>
    <row r="383" spans="11:11" x14ac:dyDescent="0.45">
      <c r="K383">
        <v>65814.635734724958</v>
      </c>
    </row>
    <row r="384" spans="11:11" x14ac:dyDescent="0.45">
      <c r="K384">
        <v>92607.83741990829</v>
      </c>
    </row>
    <row r="385" spans="11:11" x14ac:dyDescent="0.45">
      <c r="K385">
        <v>77906.818059101992</v>
      </c>
    </row>
    <row r="386" spans="11:11" x14ac:dyDescent="0.45">
      <c r="K386">
        <v>65685.140140040297</v>
      </c>
    </row>
    <row r="387" spans="11:11" x14ac:dyDescent="0.45">
      <c r="K387">
        <v>38744.90324349048</v>
      </c>
    </row>
    <row r="388" spans="11:11" x14ac:dyDescent="0.45">
      <c r="K388">
        <v>100737.37671759829</v>
      </c>
    </row>
    <row r="389" spans="11:11" x14ac:dyDescent="0.45">
      <c r="K389">
        <v>49665.652708396679</v>
      </c>
    </row>
    <row r="390" spans="11:11" x14ac:dyDescent="0.45">
      <c r="K390">
        <v>48100.522068307095</v>
      </c>
    </row>
    <row r="391" spans="11:11" x14ac:dyDescent="0.45">
      <c r="K391">
        <v>66320.523540402894</v>
      </c>
    </row>
    <row r="392" spans="11:11" x14ac:dyDescent="0.45">
      <c r="K392">
        <v>42575.544689321716</v>
      </c>
    </row>
    <row r="393" spans="11:11" x14ac:dyDescent="0.45">
      <c r="K393">
        <v>67155.795489479337</v>
      </c>
    </row>
    <row r="394" spans="11:11" x14ac:dyDescent="0.45">
      <c r="K394">
        <v>77246.717818987177</v>
      </c>
    </row>
    <row r="395" spans="11:11" x14ac:dyDescent="0.45">
      <c r="K395">
        <v>54132.317777887503</v>
      </c>
    </row>
    <row r="396" spans="11:11" x14ac:dyDescent="0.45">
      <c r="K396">
        <v>42334.058764163085</v>
      </c>
    </row>
    <row r="397" spans="11:11" x14ac:dyDescent="0.45">
      <c r="K397">
        <v>69256.285704116322</v>
      </c>
    </row>
    <row r="398" spans="11:11" x14ac:dyDescent="0.45">
      <c r="K398">
        <v>94993.686524095669</v>
      </c>
    </row>
    <row r="399" spans="11:11" x14ac:dyDescent="0.45">
      <c r="K399">
        <v>71371.753695697495</v>
      </c>
    </row>
    <row r="400" spans="11:11" x14ac:dyDescent="0.45">
      <c r="K400">
        <v>66032.170381212942</v>
      </c>
    </row>
    <row r="401" spans="11:11" x14ac:dyDescent="0.45">
      <c r="K401">
        <v>59214.800344374213</v>
      </c>
    </row>
    <row r="402" spans="11:11" x14ac:dyDescent="0.45">
      <c r="K402">
        <v>82324.214618400118</v>
      </c>
    </row>
    <row r="403" spans="11:11" x14ac:dyDescent="0.45">
      <c r="K403">
        <v>53703.88682025727</v>
      </c>
    </row>
    <row r="404" spans="11:11" x14ac:dyDescent="0.45">
      <c r="K404">
        <v>33837.250029264134</v>
      </c>
    </row>
    <row r="405" spans="11:11" x14ac:dyDescent="0.45">
      <c r="K405">
        <v>44762.834993120967</v>
      </c>
    </row>
    <row r="406" spans="11:11" x14ac:dyDescent="0.45">
      <c r="K406">
        <v>54678.414563866361</v>
      </c>
    </row>
    <row r="407" spans="11:11" x14ac:dyDescent="0.45">
      <c r="K407">
        <v>86562.573057481815</v>
      </c>
    </row>
    <row r="408" spans="11:11" x14ac:dyDescent="0.45">
      <c r="K408">
        <v>74860.609857375573</v>
      </c>
    </row>
    <row r="409" spans="11:11" x14ac:dyDescent="0.45">
      <c r="K409">
        <v>87859.191616265321</v>
      </c>
    </row>
    <row r="410" spans="11:11" x14ac:dyDescent="0.45">
      <c r="K410">
        <v>45039.777498781332</v>
      </c>
    </row>
    <row r="411" spans="11:11" x14ac:dyDescent="0.45">
      <c r="K411">
        <v>79495.79687757435</v>
      </c>
    </row>
    <row r="412" spans="11:11" x14ac:dyDescent="0.45">
      <c r="K412">
        <v>72470.25394707339</v>
      </c>
    </row>
    <row r="413" spans="11:11" x14ac:dyDescent="0.45">
      <c r="K413">
        <v>93066.027583402712</v>
      </c>
    </row>
    <row r="414" spans="11:11" x14ac:dyDescent="0.45">
      <c r="K414">
        <v>58880.398770684667</v>
      </c>
    </row>
    <row r="415" spans="11:11" x14ac:dyDescent="0.45">
      <c r="K415">
        <v>56764.873604649787</v>
      </c>
    </row>
    <row r="416" spans="11:11" x14ac:dyDescent="0.45">
      <c r="K416">
        <v>77498.624825614897</v>
      </c>
    </row>
    <row r="417" spans="11:11" x14ac:dyDescent="0.45">
      <c r="K417">
        <v>32584.673271943619</v>
      </c>
    </row>
    <row r="418" spans="11:11" x14ac:dyDescent="0.45">
      <c r="K418">
        <v>48509.484326597973</v>
      </c>
    </row>
    <row r="419" spans="11:11" x14ac:dyDescent="0.45">
      <c r="K419">
        <v>61453.089938082347</v>
      </c>
    </row>
    <row r="420" spans="11:11" x14ac:dyDescent="0.45">
      <c r="K420">
        <v>108545.23260384926</v>
      </c>
    </row>
    <row r="421" spans="11:11" x14ac:dyDescent="0.45">
      <c r="K421">
        <v>76947.851933986225</v>
      </c>
    </row>
    <row r="422" spans="11:11" x14ac:dyDescent="0.45">
      <c r="K422">
        <v>66851.485036869883</v>
      </c>
    </row>
    <row r="423" spans="11:11" x14ac:dyDescent="0.45">
      <c r="K423">
        <v>64827.993901495305</v>
      </c>
    </row>
    <row r="424" spans="11:11" x14ac:dyDescent="0.45">
      <c r="K424">
        <v>69968.947665749918</v>
      </c>
    </row>
    <row r="425" spans="11:11" x14ac:dyDescent="0.45">
      <c r="K425">
        <v>37196.154909911937</v>
      </c>
    </row>
    <row r="426" spans="11:11" x14ac:dyDescent="0.45">
      <c r="K426">
        <v>63347.329351304288</v>
      </c>
    </row>
    <row r="427" spans="11:11" x14ac:dyDescent="0.45">
      <c r="K427">
        <v>66454.906696073827</v>
      </c>
    </row>
    <row r="428" spans="11:11" x14ac:dyDescent="0.45">
      <c r="K428">
        <v>82533.847759039199</v>
      </c>
    </row>
    <row r="429" spans="11:11" x14ac:dyDescent="0.45">
      <c r="K429">
        <v>80372.904796284129</v>
      </c>
    </row>
    <row r="430" spans="11:11" x14ac:dyDescent="0.45">
      <c r="K430">
        <v>68071.68983825772</v>
      </c>
    </row>
    <row r="431" spans="11:11" x14ac:dyDescent="0.45">
      <c r="K431">
        <v>42917.584425393288</v>
      </c>
    </row>
    <row r="432" spans="11:11" x14ac:dyDescent="0.45">
      <c r="K432">
        <v>87093.654715196462</v>
      </c>
    </row>
    <row r="433" spans="11:11" x14ac:dyDescent="0.45">
      <c r="K433">
        <v>72127.838850957647</v>
      </c>
    </row>
    <row r="434" spans="11:11" x14ac:dyDescent="0.45">
      <c r="K434">
        <v>57904.351306548633</v>
      </c>
    </row>
    <row r="435" spans="11:11" x14ac:dyDescent="0.45">
      <c r="K435">
        <v>36989.940952141464</v>
      </c>
    </row>
    <row r="436" spans="11:11" x14ac:dyDescent="0.45">
      <c r="K436">
        <v>71117.087977988034</v>
      </c>
    </row>
    <row r="437" spans="11:11" x14ac:dyDescent="0.45">
      <c r="K437">
        <v>76069.586092891856</v>
      </c>
    </row>
    <row r="438" spans="11:11" x14ac:dyDescent="0.45">
      <c r="K438">
        <v>45982.834731165713</v>
      </c>
    </row>
    <row r="439" spans="11:11" x14ac:dyDescent="0.45">
      <c r="K439">
        <v>83848.096393310057</v>
      </c>
    </row>
    <row r="440" spans="11:11" x14ac:dyDescent="0.45">
      <c r="K440">
        <v>46904.489547295176</v>
      </c>
    </row>
    <row r="441" spans="11:11" x14ac:dyDescent="0.45">
      <c r="K441">
        <v>61198.730966652794</v>
      </c>
    </row>
    <row r="442" spans="11:11" x14ac:dyDescent="0.45">
      <c r="K442">
        <v>54466.064482773312</v>
      </c>
    </row>
    <row r="443" spans="11:11" x14ac:dyDescent="0.45">
      <c r="K443">
        <v>46153.266983458307</v>
      </c>
    </row>
    <row r="444" spans="11:11" x14ac:dyDescent="0.45">
      <c r="K444">
        <v>42373.307949266891</v>
      </c>
    </row>
    <row r="445" spans="11:11" x14ac:dyDescent="0.45">
      <c r="K445">
        <v>48309.306072635511</v>
      </c>
    </row>
    <row r="446" spans="11:11" x14ac:dyDescent="0.45">
      <c r="K446">
        <v>60657.019979960736</v>
      </c>
    </row>
    <row r="447" spans="11:11" x14ac:dyDescent="0.45">
      <c r="K447">
        <v>63876.020154279424</v>
      </c>
    </row>
    <row r="448" spans="11:11" x14ac:dyDescent="0.45">
      <c r="K448">
        <v>70047.134245195542</v>
      </c>
    </row>
    <row r="449" spans="11:11" x14ac:dyDescent="0.45">
      <c r="K449">
        <v>71404.201930802621</v>
      </c>
    </row>
    <row r="450" spans="11:11" x14ac:dyDescent="0.45">
      <c r="K450">
        <v>70269.800695825295</v>
      </c>
    </row>
    <row r="451" spans="11:11" x14ac:dyDescent="0.45">
      <c r="K451">
        <v>86376.131939243394</v>
      </c>
    </row>
    <row r="452" spans="11:11" x14ac:dyDescent="0.45">
      <c r="K452">
        <v>91948.023403752391</v>
      </c>
    </row>
    <row r="453" spans="11:11" x14ac:dyDescent="0.45">
      <c r="K453">
        <v>72991.784599732709</v>
      </c>
    </row>
    <row r="454" spans="11:11" x14ac:dyDescent="0.45">
      <c r="K454">
        <v>54436.010010690574</v>
      </c>
    </row>
    <row r="455" spans="11:11" x14ac:dyDescent="0.45">
      <c r="K455">
        <v>64629.555081468614</v>
      </c>
    </row>
    <row r="456" spans="11:11" x14ac:dyDescent="0.45">
      <c r="K456">
        <v>32069.126932417312</v>
      </c>
    </row>
    <row r="457" spans="11:11" x14ac:dyDescent="0.45">
      <c r="K457">
        <v>64786.407695194219</v>
      </c>
    </row>
    <row r="458" spans="11:11" x14ac:dyDescent="0.45">
      <c r="K458">
        <v>54519.945612569965</v>
      </c>
    </row>
    <row r="459" spans="11:11" x14ac:dyDescent="0.45">
      <c r="K459">
        <v>50553.720106853325</v>
      </c>
    </row>
    <row r="460" spans="11:11" x14ac:dyDescent="0.45">
      <c r="K460">
        <v>78184.659572203687</v>
      </c>
    </row>
    <row r="461" spans="11:11" x14ac:dyDescent="0.45">
      <c r="K461">
        <v>89246.863350954387</v>
      </c>
    </row>
    <row r="462" spans="11:11" x14ac:dyDescent="0.45">
      <c r="K462">
        <v>84217.058788240975</v>
      </c>
    </row>
    <row r="463" spans="11:11" x14ac:dyDescent="0.45">
      <c r="K463">
        <v>45938.693546521812</v>
      </c>
    </row>
    <row r="464" spans="11:11" x14ac:dyDescent="0.45">
      <c r="K464">
        <v>72400.848678494411</v>
      </c>
    </row>
    <row r="465" spans="11:11" x14ac:dyDescent="0.45">
      <c r="K465">
        <v>73890.013703068907</v>
      </c>
    </row>
    <row r="466" spans="11:11" x14ac:dyDescent="0.45">
      <c r="K466">
        <v>31455.165491872845</v>
      </c>
    </row>
    <row r="467" spans="11:11" x14ac:dyDescent="0.45">
      <c r="K467">
        <v>58236.519122059697</v>
      </c>
    </row>
    <row r="468" spans="11:11" x14ac:dyDescent="0.45">
      <c r="K468">
        <v>70452.020964448224</v>
      </c>
    </row>
    <row r="469" spans="11:11" x14ac:dyDescent="0.45">
      <c r="K469">
        <v>90936.586044630763</v>
      </c>
    </row>
    <row r="470" spans="11:11" x14ac:dyDescent="0.45">
      <c r="K470">
        <v>75819.829097637921</v>
      </c>
    </row>
    <row r="471" spans="11:11" x14ac:dyDescent="0.45">
      <c r="K471">
        <v>63238.005644122328</v>
      </c>
    </row>
    <row r="472" spans="11:11" x14ac:dyDescent="0.45">
      <c r="K472">
        <v>45255.768812593553</v>
      </c>
    </row>
    <row r="473" spans="11:11" x14ac:dyDescent="0.45">
      <c r="K473">
        <v>64234.8912165043</v>
      </c>
    </row>
    <row r="474" spans="11:11" x14ac:dyDescent="0.45">
      <c r="K474">
        <v>42264.351073381025</v>
      </c>
    </row>
    <row r="475" spans="11:11" x14ac:dyDescent="0.45">
      <c r="K475">
        <v>76986.074251573038</v>
      </c>
    </row>
    <row r="476" spans="11:11" x14ac:dyDescent="0.45">
      <c r="K476">
        <v>70947.05210182353</v>
      </c>
    </row>
    <row r="477" spans="11:11" x14ac:dyDescent="0.45">
      <c r="K477">
        <v>61928.873223172079</v>
      </c>
    </row>
    <row r="478" spans="11:11" x14ac:dyDescent="0.45">
      <c r="K478">
        <v>37105.929154116457</v>
      </c>
    </row>
    <row r="479" spans="11:11" x14ac:dyDescent="0.45">
      <c r="K479">
        <v>51486.817847621271</v>
      </c>
    </row>
    <row r="480" spans="11:11" x14ac:dyDescent="0.45">
      <c r="K480">
        <v>69680.604319599079</v>
      </c>
    </row>
    <row r="481" spans="11:11" x14ac:dyDescent="0.45">
      <c r="K481">
        <v>68021.907040184131</v>
      </c>
    </row>
    <row r="482" spans="11:11" x14ac:dyDescent="0.45">
      <c r="K482">
        <v>50707.651786848612</v>
      </c>
    </row>
    <row r="483" spans="11:11" x14ac:dyDescent="0.45">
      <c r="K483">
        <v>89617.578659299936</v>
      </c>
    </row>
    <row r="484" spans="11:11" x14ac:dyDescent="0.45">
      <c r="K484">
        <v>70801.322923499902</v>
      </c>
    </row>
    <row r="485" spans="11:11" x14ac:dyDescent="0.45">
      <c r="K485">
        <v>59460.95263892287</v>
      </c>
    </row>
    <row r="486" spans="11:11" x14ac:dyDescent="0.45">
      <c r="K486">
        <v>53391.346489667987</v>
      </c>
    </row>
    <row r="487" spans="11:11" x14ac:dyDescent="0.45">
      <c r="K487">
        <v>85881.402888771685</v>
      </c>
    </row>
    <row r="488" spans="11:11" x14ac:dyDescent="0.45">
      <c r="K488">
        <v>64358.422165900032</v>
      </c>
    </row>
    <row r="489" spans="11:11" x14ac:dyDescent="0.45">
      <c r="K489">
        <v>59573.7414996554</v>
      </c>
    </row>
    <row r="490" spans="11:11" x14ac:dyDescent="0.45">
      <c r="K490">
        <v>59641.222388647555</v>
      </c>
    </row>
    <row r="491" spans="11:11" x14ac:dyDescent="0.45">
      <c r="K491">
        <v>69369.460220964407</v>
      </c>
    </row>
    <row r="492" spans="11:11" x14ac:dyDescent="0.45">
      <c r="K492">
        <v>97593.549093885726</v>
      </c>
    </row>
    <row r="493" spans="11:11" x14ac:dyDescent="0.45">
      <c r="K493">
        <v>61039.263335262593</v>
      </c>
    </row>
    <row r="494" spans="11:11" x14ac:dyDescent="0.45">
      <c r="K494">
        <v>60916.12410160368</v>
      </c>
    </row>
    <row r="495" spans="11:11" x14ac:dyDescent="0.45">
      <c r="K495">
        <v>58001.644455741829</v>
      </c>
    </row>
    <row r="496" spans="11:11" x14ac:dyDescent="0.45">
      <c r="K496">
        <v>73497.606061967745</v>
      </c>
    </row>
    <row r="497" spans="11:11" x14ac:dyDescent="0.45">
      <c r="K497">
        <v>70141.894650751419</v>
      </c>
    </row>
    <row r="498" spans="11:11" x14ac:dyDescent="0.45">
      <c r="K498">
        <v>65530.187681734591</v>
      </c>
    </row>
    <row r="499" spans="11:11" x14ac:dyDescent="0.45">
      <c r="K499">
        <v>65646.436831792409</v>
      </c>
    </row>
    <row r="500" spans="11:11" x14ac:dyDescent="0.45">
      <c r="K500">
        <v>55762.608395605566</v>
      </c>
    </row>
    <row r="501" spans="11:11" x14ac:dyDescent="0.45">
      <c r="K501">
        <v>69888.092586290004</v>
      </c>
    </row>
    <row r="502" spans="11:11" x14ac:dyDescent="0.45">
      <c r="K502">
        <v>76972.070167761762</v>
      </c>
    </row>
    <row r="503" spans="11:11" x14ac:dyDescent="0.45">
      <c r="K503">
        <v>46987.505068478757</v>
      </c>
    </row>
    <row r="504" spans="11:11" x14ac:dyDescent="0.45">
      <c r="K504">
        <v>62326.365733376086</v>
      </c>
    </row>
    <row r="505" spans="11:11" x14ac:dyDescent="0.45">
      <c r="K505">
        <v>74064.715397044667</v>
      </c>
    </row>
    <row r="506" spans="11:11" x14ac:dyDescent="0.45">
      <c r="K506">
        <v>70338.825930951978</v>
      </c>
    </row>
    <row r="507" spans="11:11" x14ac:dyDescent="0.45">
      <c r="K507">
        <v>54794.203705820684</v>
      </c>
    </row>
    <row r="508" spans="11:11" x14ac:dyDescent="0.45">
      <c r="K508">
        <v>94203.171061391826</v>
      </c>
    </row>
    <row r="509" spans="11:11" x14ac:dyDescent="0.45">
      <c r="K509">
        <v>82671.511006680332</v>
      </c>
    </row>
    <row r="510" spans="11:11" x14ac:dyDescent="0.45">
      <c r="K510">
        <v>73442.954259173363</v>
      </c>
    </row>
    <row r="511" spans="11:11" x14ac:dyDescent="0.45">
      <c r="K511">
        <v>47454.432310576405</v>
      </c>
    </row>
    <row r="512" spans="11:11" x14ac:dyDescent="0.45">
      <c r="K512">
        <v>87052.617828175862</v>
      </c>
    </row>
    <row r="513" spans="11:11" x14ac:dyDescent="0.45">
      <c r="K513">
        <v>115086.23146200653</v>
      </c>
    </row>
    <row r="514" spans="11:11" x14ac:dyDescent="0.45">
      <c r="K514">
        <v>61717.707292107472</v>
      </c>
    </row>
    <row r="515" spans="11:11" x14ac:dyDescent="0.45">
      <c r="K515">
        <v>46293.477696701957</v>
      </c>
    </row>
    <row r="516" spans="11:11" x14ac:dyDescent="0.45">
      <c r="K516">
        <v>62069.909254928323</v>
      </c>
    </row>
    <row r="517" spans="11:11" x14ac:dyDescent="0.45">
      <c r="K517">
        <v>53258.319065502685</v>
      </c>
    </row>
    <row r="518" spans="11:11" x14ac:dyDescent="0.45">
      <c r="K518">
        <v>71515.379664892389</v>
      </c>
    </row>
    <row r="519" spans="11:11" x14ac:dyDescent="0.45">
      <c r="K519">
        <v>41009.607298572693</v>
      </c>
    </row>
    <row r="520" spans="11:11" x14ac:dyDescent="0.45">
      <c r="K520">
        <v>96210.743867729616</v>
      </c>
    </row>
    <row r="521" spans="11:11" x14ac:dyDescent="0.45">
      <c r="K521">
        <v>81436.921628228622</v>
      </c>
    </row>
    <row r="522" spans="11:11" x14ac:dyDescent="0.45">
      <c r="K522">
        <v>69638.702284212981</v>
      </c>
    </row>
    <row r="523" spans="11:11" x14ac:dyDescent="0.45">
      <c r="K523">
        <v>100071.10436832867</v>
      </c>
    </row>
    <row r="524" spans="11:11" x14ac:dyDescent="0.45">
      <c r="K524">
        <v>66079.608154806236</v>
      </c>
    </row>
    <row r="525" spans="11:11" x14ac:dyDescent="0.45">
      <c r="K525">
        <v>68808.778373684778</v>
      </c>
    </row>
    <row r="526" spans="11:11" x14ac:dyDescent="0.45">
      <c r="K526">
        <v>91228.597187476873</v>
      </c>
    </row>
    <row r="527" spans="11:11" x14ac:dyDescent="0.45">
      <c r="K527">
        <v>68648.476625447671</v>
      </c>
    </row>
    <row r="528" spans="11:11" x14ac:dyDescent="0.45">
      <c r="K528">
        <v>62963.440337337233</v>
      </c>
    </row>
    <row r="529" spans="11:11" x14ac:dyDescent="0.45">
      <c r="K529">
        <v>85163.511074292619</v>
      </c>
    </row>
    <row r="530" spans="11:11" x14ac:dyDescent="0.45">
      <c r="K530">
        <v>48514.194388759934</v>
      </c>
    </row>
    <row r="531" spans="11:11" x14ac:dyDescent="0.45">
      <c r="K531">
        <v>65823.439355365947</v>
      </c>
    </row>
    <row r="532" spans="11:11" x14ac:dyDescent="0.45">
      <c r="K532">
        <v>99412.400639051368</v>
      </c>
    </row>
    <row r="533" spans="11:11" x14ac:dyDescent="0.45">
      <c r="K533">
        <v>84386.663764873781</v>
      </c>
    </row>
    <row r="534" spans="11:11" x14ac:dyDescent="0.45">
      <c r="K534">
        <v>85522.655916084565</v>
      </c>
    </row>
    <row r="535" spans="11:11" x14ac:dyDescent="0.45">
      <c r="K535">
        <v>76281.862300996567</v>
      </c>
    </row>
    <row r="536" spans="11:11" x14ac:dyDescent="0.45">
      <c r="K536">
        <v>66425.411768013131</v>
      </c>
    </row>
    <row r="537" spans="11:11" x14ac:dyDescent="0.45">
      <c r="K537">
        <v>73237.5551178842</v>
      </c>
    </row>
    <row r="538" spans="11:11" x14ac:dyDescent="0.45">
      <c r="K538">
        <v>79299.17803369771</v>
      </c>
    </row>
    <row r="539" spans="11:11" x14ac:dyDescent="0.45">
      <c r="K539">
        <v>98497.825606459272</v>
      </c>
    </row>
    <row r="540" spans="11:11" x14ac:dyDescent="0.45">
      <c r="K540">
        <v>78323.494902226375</v>
      </c>
    </row>
    <row r="541" spans="11:11" x14ac:dyDescent="0.45">
      <c r="K541">
        <v>50449.896684145933</v>
      </c>
    </row>
    <row r="542" spans="11:11" x14ac:dyDescent="0.45">
      <c r="K542">
        <v>59126.788521109949</v>
      </c>
    </row>
    <row r="543" spans="11:11" x14ac:dyDescent="0.45">
      <c r="K543">
        <v>66891.507697426234</v>
      </c>
    </row>
    <row r="544" spans="11:11" x14ac:dyDescent="0.45">
      <c r="K544">
        <v>76619.838395716768</v>
      </c>
    </row>
    <row r="545" spans="11:11" x14ac:dyDescent="0.45">
      <c r="K545">
        <v>88475.366652030847</v>
      </c>
    </row>
    <row r="546" spans="11:11" x14ac:dyDescent="0.45">
      <c r="K546">
        <v>66241.122851731328</v>
      </c>
    </row>
    <row r="547" spans="11:11" x14ac:dyDescent="0.45">
      <c r="K547">
        <v>84680.264742660773</v>
      </c>
    </row>
    <row r="548" spans="11:11" x14ac:dyDescent="0.45">
      <c r="K548">
        <v>82903.150365919078</v>
      </c>
    </row>
    <row r="549" spans="11:11" x14ac:dyDescent="0.45">
      <c r="K549">
        <v>67169.173308076846</v>
      </c>
    </row>
    <row r="550" spans="11:11" x14ac:dyDescent="0.45">
      <c r="K550">
        <v>50831.428540597197</v>
      </c>
    </row>
    <row r="551" spans="11:11" x14ac:dyDescent="0.45">
      <c r="K551">
        <v>66623.14296531702</v>
      </c>
    </row>
    <row r="552" spans="11:11" x14ac:dyDescent="0.45">
      <c r="K552">
        <v>84001.492017266239</v>
      </c>
    </row>
    <row r="553" spans="11:11" x14ac:dyDescent="0.45">
      <c r="K553">
        <v>108618.72850144723</v>
      </c>
    </row>
    <row r="554" spans="11:11" x14ac:dyDescent="0.45">
      <c r="K554">
        <v>48995.327711695762</v>
      </c>
    </row>
    <row r="555" spans="11:11" x14ac:dyDescent="0.45">
      <c r="K555">
        <v>89894.377102483166</v>
      </c>
    </row>
    <row r="556" spans="11:11" x14ac:dyDescent="0.45">
      <c r="K556">
        <v>69488.9855763261</v>
      </c>
    </row>
    <row r="557" spans="11:11" x14ac:dyDescent="0.45">
      <c r="K557">
        <v>82454.760795799521</v>
      </c>
    </row>
    <row r="558" spans="11:11" x14ac:dyDescent="0.45">
      <c r="K558">
        <v>68503.036179301067</v>
      </c>
    </row>
    <row r="559" spans="11:11" x14ac:dyDescent="0.45">
      <c r="K559">
        <v>63679.194013918779</v>
      </c>
    </row>
    <row r="560" spans="11:11" x14ac:dyDescent="0.45">
      <c r="K560">
        <v>53654.426501093702</v>
      </c>
    </row>
    <row r="561" spans="11:11" x14ac:dyDescent="0.45">
      <c r="K561">
        <v>58762.603552147237</v>
      </c>
    </row>
    <row r="562" spans="11:11" x14ac:dyDescent="0.45">
      <c r="K562">
        <v>65047.036236351756</v>
      </c>
    </row>
    <row r="563" spans="11:11" x14ac:dyDescent="0.45">
      <c r="K563">
        <v>56064.228510397981</v>
      </c>
    </row>
    <row r="564" spans="11:11" x14ac:dyDescent="0.45">
      <c r="K564">
        <v>81022.064329653265</v>
      </c>
    </row>
    <row r="565" spans="11:11" x14ac:dyDescent="0.45">
      <c r="K565">
        <v>73983.370532119225</v>
      </c>
    </row>
    <row r="566" spans="11:11" x14ac:dyDescent="0.45">
      <c r="K566">
        <v>62108.168808177536</v>
      </c>
    </row>
    <row r="567" spans="11:11" x14ac:dyDescent="0.45">
      <c r="K567">
        <v>67634.35485060449</v>
      </c>
    </row>
    <row r="568" spans="11:11" x14ac:dyDescent="0.45">
      <c r="K568">
        <v>50526.397215295816</v>
      </c>
    </row>
    <row r="569" spans="11:11" x14ac:dyDescent="0.45">
      <c r="K569">
        <v>51621.397145880779</v>
      </c>
    </row>
    <row r="570" spans="11:11" x14ac:dyDescent="0.45">
      <c r="K570">
        <v>68119.672992256354</v>
      </c>
    </row>
    <row r="571" spans="11:11" x14ac:dyDescent="0.45">
      <c r="K571">
        <v>36292.200832246439</v>
      </c>
    </row>
    <row r="572" spans="11:11" x14ac:dyDescent="0.45">
      <c r="K572">
        <v>48851.464216303866</v>
      </c>
    </row>
    <row r="573" spans="11:11" x14ac:dyDescent="0.45">
      <c r="K573">
        <v>40847.302458277823</v>
      </c>
    </row>
    <row r="574" spans="11:11" x14ac:dyDescent="0.45">
      <c r="K574">
        <v>67225.453695134784</v>
      </c>
    </row>
    <row r="575" spans="11:11" x14ac:dyDescent="0.45">
      <c r="K575">
        <v>47514.733704737897</v>
      </c>
    </row>
    <row r="576" spans="11:11" x14ac:dyDescent="0.45">
      <c r="K576">
        <v>73076.026908324697</v>
      </c>
    </row>
    <row r="577" spans="11:11" x14ac:dyDescent="0.45">
      <c r="K577">
        <v>70004.953261076036</v>
      </c>
    </row>
    <row r="578" spans="11:11" x14ac:dyDescent="0.45">
      <c r="K578">
        <v>53846.293796251368</v>
      </c>
    </row>
    <row r="579" spans="11:11" x14ac:dyDescent="0.45">
      <c r="K579">
        <v>68867.390184071584</v>
      </c>
    </row>
    <row r="580" spans="11:11" x14ac:dyDescent="0.45">
      <c r="K580">
        <v>76046.427274575966</v>
      </c>
    </row>
    <row r="581" spans="11:11" x14ac:dyDescent="0.45">
      <c r="K581">
        <v>66492.732364333948</v>
      </c>
    </row>
    <row r="582" spans="11:11" x14ac:dyDescent="0.45">
      <c r="K582">
        <v>49665.880952390158</v>
      </c>
    </row>
    <row r="583" spans="11:11" x14ac:dyDescent="0.45">
      <c r="K583">
        <v>71229.456431667437</v>
      </c>
    </row>
    <row r="584" spans="11:11" x14ac:dyDescent="0.45">
      <c r="K584">
        <v>33690.382472812053</v>
      </c>
    </row>
    <row r="585" spans="11:11" x14ac:dyDescent="0.45">
      <c r="K585">
        <v>58930.924682615034</v>
      </c>
    </row>
    <row r="586" spans="11:11" x14ac:dyDescent="0.45">
      <c r="K586">
        <v>67134.050676535466</v>
      </c>
    </row>
    <row r="587" spans="11:11" x14ac:dyDescent="0.45">
      <c r="K587">
        <v>63196.142912048665</v>
      </c>
    </row>
    <row r="588" spans="11:11" x14ac:dyDescent="0.45">
      <c r="K588">
        <v>61806.007011689777</v>
      </c>
    </row>
    <row r="589" spans="11:11" x14ac:dyDescent="0.45">
      <c r="K589">
        <v>69412.7036103305</v>
      </c>
    </row>
    <row r="590" spans="11:11" x14ac:dyDescent="0.45">
      <c r="K590">
        <v>86174.982348200327</v>
      </c>
    </row>
    <row r="591" spans="11:11" x14ac:dyDescent="0.45">
      <c r="K591">
        <v>104082.86136190151</v>
      </c>
    </row>
    <row r="592" spans="11:11" x14ac:dyDescent="0.45">
      <c r="K592">
        <v>70991.901287735614</v>
      </c>
    </row>
    <row r="593" spans="11:11" x14ac:dyDescent="0.45">
      <c r="K593">
        <v>78250.944081810318</v>
      </c>
    </row>
    <row r="594" spans="11:11" x14ac:dyDescent="0.45">
      <c r="K594">
        <v>26242.688675046818</v>
      </c>
    </row>
    <row r="595" spans="11:11" x14ac:dyDescent="0.45">
      <c r="K595">
        <v>76412.944116025872</v>
      </c>
    </row>
    <row r="596" spans="11:11" x14ac:dyDescent="0.45">
      <c r="K596">
        <v>78323.405684778598</v>
      </c>
    </row>
    <row r="597" spans="11:11" x14ac:dyDescent="0.45">
      <c r="K597">
        <v>99372.234199143073</v>
      </c>
    </row>
    <row r="598" spans="11:11" x14ac:dyDescent="0.45">
      <c r="K598">
        <v>98982.257640386058</v>
      </c>
    </row>
    <row r="599" spans="11:11" x14ac:dyDescent="0.45">
      <c r="K599">
        <v>42161.467142719077</v>
      </c>
    </row>
    <row r="600" spans="11:11" x14ac:dyDescent="0.45">
      <c r="K600">
        <v>65819.132072971755</v>
      </c>
    </row>
    <row r="601" spans="11:11" x14ac:dyDescent="0.45">
      <c r="K601">
        <v>95954.830522043238</v>
      </c>
    </row>
    <row r="602" spans="11:11" x14ac:dyDescent="0.45">
      <c r="K602">
        <v>55863.592848995155</v>
      </c>
    </row>
    <row r="603" spans="11:11" x14ac:dyDescent="0.45">
      <c r="K603">
        <v>78784.04411358526</v>
      </c>
    </row>
    <row r="604" spans="11:11" x14ac:dyDescent="0.45">
      <c r="K604">
        <v>73973.750478191141</v>
      </c>
    </row>
    <row r="605" spans="11:11" x14ac:dyDescent="0.45">
      <c r="K605">
        <v>34196.262827268452</v>
      </c>
    </row>
    <row r="606" spans="11:11" x14ac:dyDescent="0.45">
      <c r="K606">
        <v>45033.642061898383</v>
      </c>
    </row>
    <row r="607" spans="11:11" x14ac:dyDescent="0.45">
      <c r="K607">
        <v>54120.219434070226</v>
      </c>
    </row>
    <row r="608" spans="11:11" x14ac:dyDescent="0.45">
      <c r="K608">
        <v>87128.589379217636</v>
      </c>
    </row>
    <row r="609" spans="11:11" x14ac:dyDescent="0.45">
      <c r="K609">
        <v>55609.508813072018</v>
      </c>
    </row>
    <row r="610" spans="11:11" x14ac:dyDescent="0.45">
      <c r="K610">
        <v>66190.128402445684</v>
      </c>
    </row>
    <row r="611" spans="11:11" x14ac:dyDescent="0.45">
      <c r="K611">
        <v>78856.112249476282</v>
      </c>
    </row>
    <row r="612" spans="11:11" x14ac:dyDescent="0.45">
      <c r="K612">
        <v>66866.888964640966</v>
      </c>
    </row>
    <row r="613" spans="11:11" x14ac:dyDescent="0.45">
      <c r="K613">
        <v>64128.464791899634</v>
      </c>
    </row>
    <row r="614" spans="11:11" x14ac:dyDescent="0.45">
      <c r="K614">
        <v>74930.507437498643</v>
      </c>
    </row>
    <row r="615" spans="11:11" x14ac:dyDescent="0.45">
      <c r="K615">
        <v>60346.678056770324</v>
      </c>
    </row>
    <row r="616" spans="11:11" x14ac:dyDescent="0.45">
      <c r="K616">
        <v>89273.333007883994</v>
      </c>
    </row>
    <row r="617" spans="11:11" x14ac:dyDescent="0.45">
      <c r="K617">
        <v>63322.741403348518</v>
      </c>
    </row>
    <row r="618" spans="11:11" x14ac:dyDescent="0.45">
      <c r="K618">
        <v>56083.035538607975</v>
      </c>
    </row>
    <row r="619" spans="11:11" x14ac:dyDescent="0.45">
      <c r="K619">
        <v>49092.96292301685</v>
      </c>
    </row>
    <row r="620" spans="11:11" x14ac:dyDescent="0.45">
      <c r="K620">
        <v>67274.121346974527</v>
      </c>
    </row>
    <row r="621" spans="11:11" x14ac:dyDescent="0.45">
      <c r="K621">
        <v>69756.531111221659</v>
      </c>
    </row>
    <row r="622" spans="11:11" x14ac:dyDescent="0.45">
      <c r="K622">
        <v>81143.961350713522</v>
      </c>
    </row>
    <row r="623" spans="11:11" x14ac:dyDescent="0.45">
      <c r="K623">
        <v>39415.008576927168</v>
      </c>
    </row>
    <row r="624" spans="11:11" x14ac:dyDescent="0.45">
      <c r="K624">
        <v>68710.979939163473</v>
      </c>
    </row>
    <row r="625" spans="11:11" x14ac:dyDescent="0.45">
      <c r="K625">
        <v>96224.263434689754</v>
      </c>
    </row>
    <row r="626" spans="11:11" x14ac:dyDescent="0.45">
      <c r="K626">
        <v>92001.174696648493</v>
      </c>
    </row>
    <row r="627" spans="11:11" x14ac:dyDescent="0.45">
      <c r="K627">
        <v>82155.641953107974</v>
      </c>
    </row>
    <row r="628" spans="11:11" x14ac:dyDescent="0.45">
      <c r="K628">
        <v>64527.656908787925</v>
      </c>
    </row>
    <row r="629" spans="11:11" x14ac:dyDescent="0.45">
      <c r="K629">
        <v>53985.051089857683</v>
      </c>
    </row>
    <row r="630" spans="11:11" x14ac:dyDescent="0.45">
      <c r="K630">
        <v>72495.039744087917</v>
      </c>
    </row>
    <row r="631" spans="11:11" x14ac:dyDescent="0.45">
      <c r="K631">
        <v>45628.569085559568</v>
      </c>
    </row>
    <row r="632" spans="11:11" x14ac:dyDescent="0.45">
      <c r="K632">
        <v>54313.038071689472</v>
      </c>
    </row>
    <row r="633" spans="11:11" x14ac:dyDescent="0.45">
      <c r="K633">
        <v>33078.321011122061</v>
      </c>
    </row>
    <row r="634" spans="11:11" x14ac:dyDescent="0.45">
      <c r="K634">
        <v>81237.94908591776</v>
      </c>
    </row>
    <row r="635" spans="11:11" x14ac:dyDescent="0.45">
      <c r="K635">
        <v>49565.004507867881</v>
      </c>
    </row>
    <row r="636" spans="11:11" x14ac:dyDescent="0.45">
      <c r="K636">
        <v>53172.300652942526</v>
      </c>
    </row>
    <row r="637" spans="11:11" x14ac:dyDescent="0.45">
      <c r="K637">
        <v>48210.981740912925</v>
      </c>
    </row>
    <row r="638" spans="11:11" x14ac:dyDescent="0.45">
      <c r="K638">
        <v>74575.037254502255</v>
      </c>
    </row>
    <row r="639" spans="11:11" x14ac:dyDescent="0.45">
      <c r="K639">
        <v>48855.358924878223</v>
      </c>
    </row>
    <row r="640" spans="11:11" x14ac:dyDescent="0.45">
      <c r="K640">
        <v>82958.71872502286</v>
      </c>
    </row>
    <row r="641" spans="11:11" x14ac:dyDescent="0.45">
      <c r="K641">
        <v>63108.275386563553</v>
      </c>
    </row>
    <row r="642" spans="11:11" x14ac:dyDescent="0.45">
      <c r="K642">
        <v>96275.184721147991</v>
      </c>
    </row>
    <row r="643" spans="11:11" x14ac:dyDescent="0.45">
      <c r="K643">
        <v>55676.220900684537</v>
      </c>
    </row>
    <row r="644" spans="11:11" x14ac:dyDescent="0.45">
      <c r="K644">
        <v>64904.965068793834</v>
      </c>
    </row>
    <row r="645" spans="11:11" x14ac:dyDescent="0.45">
      <c r="K645">
        <v>45547.363498636667</v>
      </c>
    </row>
    <row r="646" spans="11:11" x14ac:dyDescent="0.45">
      <c r="K646">
        <v>58869.122480124766</v>
      </c>
    </row>
    <row r="647" spans="11:11" x14ac:dyDescent="0.45">
      <c r="K647">
        <v>48306.476329609082</v>
      </c>
    </row>
    <row r="648" spans="11:11" x14ac:dyDescent="0.45">
      <c r="K648">
        <v>55382.074237478715</v>
      </c>
    </row>
    <row r="649" spans="11:11" x14ac:dyDescent="0.45">
      <c r="K649">
        <v>79598.441450158803</v>
      </c>
    </row>
    <row r="650" spans="11:11" x14ac:dyDescent="0.45">
      <c r="K650">
        <v>83427.672922844591</v>
      </c>
    </row>
    <row r="651" spans="11:11" x14ac:dyDescent="0.45">
      <c r="K651">
        <v>88456.479020103885</v>
      </c>
    </row>
    <row r="652" spans="11:11" x14ac:dyDescent="0.45">
      <c r="K652">
        <v>86423.45104704905</v>
      </c>
    </row>
    <row r="653" spans="11:11" x14ac:dyDescent="0.45">
      <c r="K653">
        <v>55236.093194056884</v>
      </c>
    </row>
    <row r="654" spans="11:11" x14ac:dyDescent="0.45">
      <c r="K654">
        <v>31061.760251926084</v>
      </c>
    </row>
    <row r="655" spans="11:11" x14ac:dyDescent="0.45">
      <c r="K655">
        <v>72865.412778370213</v>
      </c>
    </row>
    <row r="656" spans="11:11" x14ac:dyDescent="0.45">
      <c r="K656">
        <v>53160.610258332214</v>
      </c>
    </row>
    <row r="657" spans="11:11" x14ac:dyDescent="0.45">
      <c r="K657">
        <v>74439.303600006766</v>
      </c>
    </row>
    <row r="658" spans="11:11" x14ac:dyDescent="0.45">
      <c r="K658">
        <v>66619.509100056603</v>
      </c>
    </row>
    <row r="659" spans="11:11" x14ac:dyDescent="0.45">
      <c r="K659">
        <v>96744.955472369853</v>
      </c>
    </row>
    <row r="660" spans="11:11" x14ac:dyDescent="0.45">
      <c r="K660">
        <v>39846.524548895279</v>
      </c>
    </row>
    <row r="661" spans="11:11" x14ac:dyDescent="0.45">
      <c r="K661">
        <v>70865.453027842435</v>
      </c>
    </row>
    <row r="662" spans="11:11" x14ac:dyDescent="0.45">
      <c r="K662">
        <v>73773.19439763324</v>
      </c>
    </row>
    <row r="663" spans="11:11" x14ac:dyDescent="0.45">
      <c r="K663">
        <v>82664.197892406417</v>
      </c>
    </row>
    <row r="664" spans="11:11" x14ac:dyDescent="0.45">
      <c r="K664">
        <v>44564.58835117791</v>
      </c>
    </row>
    <row r="665" spans="11:11" x14ac:dyDescent="0.45">
      <c r="K665">
        <v>82689.217917680435</v>
      </c>
    </row>
    <row r="666" spans="11:11" x14ac:dyDescent="0.45">
      <c r="K666">
        <v>58353.663642833446</v>
      </c>
    </row>
    <row r="667" spans="11:11" x14ac:dyDescent="0.45">
      <c r="K667">
        <v>74239.144859617882</v>
      </c>
    </row>
    <row r="668" spans="11:11" x14ac:dyDescent="0.45">
      <c r="K668">
        <v>85575.506388398368</v>
      </c>
    </row>
    <row r="669" spans="11:11" x14ac:dyDescent="0.45">
      <c r="K669">
        <v>74048.119613824674</v>
      </c>
    </row>
    <row r="670" spans="11:11" x14ac:dyDescent="0.45">
      <c r="K670">
        <v>82045.338910788792</v>
      </c>
    </row>
    <row r="671" spans="11:11" x14ac:dyDescent="0.45">
      <c r="K671">
        <v>45928.032997457922</v>
      </c>
    </row>
    <row r="672" spans="11:11" x14ac:dyDescent="0.45">
      <c r="K672">
        <v>62014.481389173874</v>
      </c>
    </row>
    <row r="673" spans="11:11" x14ac:dyDescent="0.45">
      <c r="K673">
        <v>48216.858456123751</v>
      </c>
    </row>
    <row r="674" spans="11:11" x14ac:dyDescent="0.45">
      <c r="K674">
        <v>77995.089337306708</v>
      </c>
    </row>
    <row r="675" spans="11:11" x14ac:dyDescent="0.45">
      <c r="K675">
        <v>60714.036370033922</v>
      </c>
    </row>
    <row r="676" spans="11:11" x14ac:dyDescent="0.45">
      <c r="K676">
        <v>64351.956738766436</v>
      </c>
    </row>
    <row r="677" spans="11:11" x14ac:dyDescent="0.45">
      <c r="K677">
        <v>71544.224802245095</v>
      </c>
    </row>
    <row r="678" spans="11:11" x14ac:dyDescent="0.45">
      <c r="K678">
        <v>32937.711965562325</v>
      </c>
    </row>
    <row r="679" spans="11:11" x14ac:dyDescent="0.45">
      <c r="K679">
        <v>73256.003999036024</v>
      </c>
    </row>
    <row r="680" spans="11:11" x14ac:dyDescent="0.45">
      <c r="K680">
        <v>70791.298021062627</v>
      </c>
    </row>
    <row r="681" spans="11:11" x14ac:dyDescent="0.45">
      <c r="K681">
        <v>54618.771962117542</v>
      </c>
    </row>
    <row r="682" spans="11:11" x14ac:dyDescent="0.45">
      <c r="K682">
        <v>54292.144634587079</v>
      </c>
    </row>
    <row r="683" spans="11:11" x14ac:dyDescent="0.45">
      <c r="K683">
        <v>113437.89948752773</v>
      </c>
    </row>
    <row r="684" spans="11:11" x14ac:dyDescent="0.45">
      <c r="K684">
        <v>79068.35312208056</v>
      </c>
    </row>
    <row r="685" spans="11:11" x14ac:dyDescent="0.45">
      <c r="K685">
        <v>74250.745946390394</v>
      </c>
    </row>
    <row r="686" spans="11:11" x14ac:dyDescent="0.45">
      <c r="K686">
        <v>76280.229243974522</v>
      </c>
    </row>
    <row r="687" spans="11:11" x14ac:dyDescent="0.45">
      <c r="K687">
        <v>50331.424591057243</v>
      </c>
    </row>
    <row r="688" spans="11:11" x14ac:dyDescent="0.45">
      <c r="K688">
        <v>63898.610631747761</v>
      </c>
    </row>
    <row r="689" spans="11:11" x14ac:dyDescent="0.45">
      <c r="K689">
        <v>86406.353216429416</v>
      </c>
    </row>
    <row r="690" spans="11:11" x14ac:dyDescent="0.45">
      <c r="K690">
        <v>81194.15477458619</v>
      </c>
    </row>
    <row r="691" spans="11:11" x14ac:dyDescent="0.45">
      <c r="K691">
        <v>65402.327861625876</v>
      </c>
    </row>
    <row r="692" spans="11:11" x14ac:dyDescent="0.45">
      <c r="K692">
        <v>64159.251856126022</v>
      </c>
    </row>
    <row r="693" spans="11:11" x14ac:dyDescent="0.45">
      <c r="K693">
        <v>78935.612323938418</v>
      </c>
    </row>
    <row r="694" spans="11:11" x14ac:dyDescent="0.45">
      <c r="K694">
        <v>51203.859070205697</v>
      </c>
    </row>
    <row r="695" spans="11:11" x14ac:dyDescent="0.45">
      <c r="K695">
        <v>102009.37080630953</v>
      </c>
    </row>
    <row r="696" spans="11:11" x14ac:dyDescent="0.45">
      <c r="K696">
        <v>42239.75662430183</v>
      </c>
    </row>
    <row r="697" spans="11:11" x14ac:dyDescent="0.45">
      <c r="K697">
        <v>76141.827366258469</v>
      </c>
    </row>
    <row r="698" spans="11:11" x14ac:dyDescent="0.45">
      <c r="K698">
        <v>45946.369798082436</v>
      </c>
    </row>
    <row r="699" spans="11:11" x14ac:dyDescent="0.45">
      <c r="K699">
        <v>72100.645241847349</v>
      </c>
    </row>
    <row r="700" spans="11:11" x14ac:dyDescent="0.45">
      <c r="K700">
        <v>47945.9786622717</v>
      </c>
    </row>
    <row r="701" spans="11:11" x14ac:dyDescent="0.45">
      <c r="K701">
        <v>79780.109044344223</v>
      </c>
    </row>
    <row r="702" spans="11:11" x14ac:dyDescent="0.45">
      <c r="K702">
        <v>74594.372948854216</v>
      </c>
    </row>
    <row r="703" spans="11:11" x14ac:dyDescent="0.45">
      <c r="K703">
        <v>54412.738858628181</v>
      </c>
    </row>
    <row r="704" spans="11:11" x14ac:dyDescent="0.45">
      <c r="K704">
        <v>88648.812523612258</v>
      </c>
    </row>
    <row r="705" spans="11:11" x14ac:dyDescent="0.45">
      <c r="K705">
        <v>82865.542373755859</v>
      </c>
    </row>
    <row r="706" spans="11:11" x14ac:dyDescent="0.45">
      <c r="K706">
        <v>69910.731696148447</v>
      </c>
    </row>
    <row r="707" spans="11:11" x14ac:dyDescent="0.45">
      <c r="K707">
        <v>54895.42826797672</v>
      </c>
    </row>
    <row r="708" spans="11:11" x14ac:dyDescent="0.45">
      <c r="K708">
        <v>38737.920104637291</v>
      </c>
    </row>
    <row r="709" spans="11:11" x14ac:dyDescent="0.45">
      <c r="K709">
        <v>105474.96305081039</v>
      </c>
    </row>
    <row r="710" spans="11:11" x14ac:dyDescent="0.45">
      <c r="K710">
        <v>66890.537832115107</v>
      </c>
    </row>
    <row r="711" spans="11:11" x14ac:dyDescent="0.45">
      <c r="K711">
        <v>102915.39613207115</v>
      </c>
    </row>
    <row r="712" spans="11:11" x14ac:dyDescent="0.45">
      <c r="K712">
        <v>31766.181807213012</v>
      </c>
    </row>
    <row r="713" spans="11:11" x14ac:dyDescent="0.45">
      <c r="K713">
        <v>62407.988360127441</v>
      </c>
    </row>
    <row r="714" spans="11:11" x14ac:dyDescent="0.45">
      <c r="K714">
        <v>59281.916432053476</v>
      </c>
    </row>
    <row r="715" spans="11:11" x14ac:dyDescent="0.45">
      <c r="K715">
        <v>77442.933691433951</v>
      </c>
    </row>
    <row r="716" spans="11:11" x14ac:dyDescent="0.45">
      <c r="K716">
        <v>75451.578847849625</v>
      </c>
    </row>
    <row r="717" spans="11:11" x14ac:dyDescent="0.45">
      <c r="K717">
        <v>76930.883352487377</v>
      </c>
    </row>
    <row r="718" spans="11:11" x14ac:dyDescent="0.45">
      <c r="K718">
        <v>92036.897876598829</v>
      </c>
    </row>
    <row r="719" spans="11:11" x14ac:dyDescent="0.45">
      <c r="K719">
        <v>61872.054532941016</v>
      </c>
    </row>
    <row r="720" spans="11:11" x14ac:dyDescent="0.45">
      <c r="K720">
        <v>69848.386998061935</v>
      </c>
    </row>
    <row r="721" spans="11:11" x14ac:dyDescent="0.45">
      <c r="K721">
        <v>39489.773934214958</v>
      </c>
    </row>
    <row r="722" spans="11:11" x14ac:dyDescent="0.45">
      <c r="K722">
        <v>37751.308810757866</v>
      </c>
    </row>
    <row r="723" spans="11:11" x14ac:dyDescent="0.45">
      <c r="K723">
        <v>41437.699336222358</v>
      </c>
    </row>
    <row r="724" spans="11:11" x14ac:dyDescent="0.45">
      <c r="K724">
        <v>93471.248550461081</v>
      </c>
    </row>
    <row r="725" spans="11:11" x14ac:dyDescent="0.45">
      <c r="K725">
        <v>40104.090795050361</v>
      </c>
    </row>
    <row r="726" spans="11:11" x14ac:dyDescent="0.45">
      <c r="K726">
        <v>83490.785118277505</v>
      </c>
    </row>
    <row r="727" spans="11:11" x14ac:dyDescent="0.45">
      <c r="K727">
        <v>53126.192932080303</v>
      </c>
    </row>
    <row r="728" spans="11:11" x14ac:dyDescent="0.45">
      <c r="K728">
        <v>67705.376905074285</v>
      </c>
    </row>
    <row r="729" spans="11:11" x14ac:dyDescent="0.45">
      <c r="K729">
        <v>64775.703834190892</v>
      </c>
    </row>
    <row r="730" spans="11:11" x14ac:dyDescent="0.45">
      <c r="K730">
        <v>100529.14085184819</v>
      </c>
    </row>
    <row r="731" spans="11:11" x14ac:dyDescent="0.45">
      <c r="K731">
        <v>76288.44669903192</v>
      </c>
    </row>
    <row r="732" spans="11:11" x14ac:dyDescent="0.45">
      <c r="K732">
        <v>55917.853432183445</v>
      </c>
    </row>
    <row r="733" spans="11:11" x14ac:dyDescent="0.45">
      <c r="K733">
        <v>74631.349385704234</v>
      </c>
    </row>
    <row r="734" spans="11:11" x14ac:dyDescent="0.45">
      <c r="K734">
        <v>77692.881200121148</v>
      </c>
    </row>
    <row r="735" spans="11:11" x14ac:dyDescent="0.45">
      <c r="K735">
        <v>56698.145302486817</v>
      </c>
    </row>
    <row r="736" spans="11:11" x14ac:dyDescent="0.45">
      <c r="K736">
        <v>105960.85319582347</v>
      </c>
    </row>
    <row r="737" spans="11:11" x14ac:dyDescent="0.45">
      <c r="K737">
        <v>73032.975860292339</v>
      </c>
    </row>
    <row r="738" spans="11:11" x14ac:dyDescent="0.45">
      <c r="K738">
        <v>73464.992747340832</v>
      </c>
    </row>
    <row r="739" spans="11:11" x14ac:dyDescent="0.45">
      <c r="K739">
        <v>69684.77845667598</v>
      </c>
    </row>
    <row r="740" spans="11:11" x14ac:dyDescent="0.45">
      <c r="K740">
        <v>85099.127705891733</v>
      </c>
    </row>
    <row r="741" spans="11:11" x14ac:dyDescent="0.45">
      <c r="K741">
        <v>68618.651834330725</v>
      </c>
    </row>
    <row r="742" spans="11:11" x14ac:dyDescent="0.45">
      <c r="K742">
        <v>94294.38824304071</v>
      </c>
    </row>
    <row r="743" spans="11:11" x14ac:dyDescent="0.45">
      <c r="K743">
        <v>39718.27016175793</v>
      </c>
    </row>
    <row r="744" spans="11:11" x14ac:dyDescent="0.45">
      <c r="K744">
        <v>72208.271559504792</v>
      </c>
    </row>
    <row r="745" spans="11:11" x14ac:dyDescent="0.45">
      <c r="K745">
        <v>60396.421703800261</v>
      </c>
    </row>
    <row r="746" spans="11:11" x14ac:dyDescent="0.45">
      <c r="K746">
        <v>42249.131179559947</v>
      </c>
    </row>
    <row r="747" spans="11:11" x14ac:dyDescent="0.45">
      <c r="K747">
        <v>47372.375781590228</v>
      </c>
    </row>
    <row r="748" spans="11:11" x14ac:dyDescent="0.45">
      <c r="K748">
        <v>54004.302241913007</v>
      </c>
    </row>
    <row r="749" spans="11:11" x14ac:dyDescent="0.45">
      <c r="K749">
        <v>46510.473747126802</v>
      </c>
    </row>
    <row r="750" spans="11:11" x14ac:dyDescent="0.45">
      <c r="K750">
        <v>79115.708666749168</v>
      </c>
    </row>
    <row r="751" spans="11:11" x14ac:dyDescent="0.45">
      <c r="K751">
        <v>78839.053933545089</v>
      </c>
    </row>
    <row r="752" spans="11:11" x14ac:dyDescent="0.45">
      <c r="K752">
        <v>50059.041365683275</v>
      </c>
    </row>
    <row r="753" spans="11:11" x14ac:dyDescent="0.45">
      <c r="K753">
        <v>105825.88358454805</v>
      </c>
    </row>
    <row r="754" spans="11:11" x14ac:dyDescent="0.45">
      <c r="K754">
        <v>73908.882496497303</v>
      </c>
    </row>
    <row r="755" spans="11:11" x14ac:dyDescent="0.45">
      <c r="K755">
        <v>81803.914071006424</v>
      </c>
    </row>
    <row r="756" spans="11:11" x14ac:dyDescent="0.45">
      <c r="K756">
        <v>63328.131903980902</v>
      </c>
    </row>
    <row r="757" spans="11:11" x14ac:dyDescent="0.45">
      <c r="K757">
        <v>51282.367477536565</v>
      </c>
    </row>
    <row r="758" spans="11:11" x14ac:dyDescent="0.45">
      <c r="K758">
        <v>87859.623478363836</v>
      </c>
    </row>
    <row r="759" spans="11:11" x14ac:dyDescent="0.45">
      <c r="K759">
        <v>67480.587182227231</v>
      </c>
    </row>
    <row r="760" spans="11:11" x14ac:dyDescent="0.45">
      <c r="K760">
        <v>68081.445118994641</v>
      </c>
    </row>
    <row r="761" spans="11:11" x14ac:dyDescent="0.45">
      <c r="K761">
        <v>61845.295261114479</v>
      </c>
    </row>
    <row r="762" spans="11:11" x14ac:dyDescent="0.45">
      <c r="K762">
        <v>74628.828907968695</v>
      </c>
    </row>
    <row r="763" spans="11:11" x14ac:dyDescent="0.45">
      <c r="K763">
        <v>81472.50266284417</v>
      </c>
    </row>
    <row r="764" spans="11:11" x14ac:dyDescent="0.45">
      <c r="K764">
        <v>58437.754630883064</v>
      </c>
    </row>
    <row r="765" spans="11:11" x14ac:dyDescent="0.45">
      <c r="K765">
        <v>59705.831776014995</v>
      </c>
    </row>
    <row r="766" spans="11:11" x14ac:dyDescent="0.45">
      <c r="K766">
        <v>74159.978858426752</v>
      </c>
    </row>
    <row r="767" spans="11:11" x14ac:dyDescent="0.45">
      <c r="K767">
        <v>78652.888780894238</v>
      </c>
    </row>
    <row r="768" spans="11:11" x14ac:dyDescent="0.45">
      <c r="K768">
        <v>70184.671557036112</v>
      </c>
    </row>
    <row r="769" spans="11:11" x14ac:dyDescent="0.45">
      <c r="K769">
        <v>75953.612451945533</v>
      </c>
    </row>
    <row r="770" spans="11:11" x14ac:dyDescent="0.45">
      <c r="K770">
        <v>36765.197954515112</v>
      </c>
    </row>
    <row r="771" spans="11:11" x14ac:dyDescent="0.45">
      <c r="K771">
        <v>77160.527534521039</v>
      </c>
    </row>
    <row r="772" spans="11:11" x14ac:dyDescent="0.45">
      <c r="K772">
        <v>90435.709289453065</v>
      </c>
    </row>
    <row r="773" spans="11:11" x14ac:dyDescent="0.45">
      <c r="K773">
        <v>63264.12934572938</v>
      </c>
    </row>
    <row r="774" spans="11:11" x14ac:dyDescent="0.45">
      <c r="K774">
        <v>51799.712108739288</v>
      </c>
    </row>
    <row r="775" spans="11:11" x14ac:dyDescent="0.45">
      <c r="K775">
        <v>58600.902545032179</v>
      </c>
    </row>
    <row r="776" spans="11:11" x14ac:dyDescent="0.45">
      <c r="K776">
        <v>51260.121144203404</v>
      </c>
    </row>
    <row r="777" spans="11:11" x14ac:dyDescent="0.45">
      <c r="K777">
        <v>77572.366003671312</v>
      </c>
    </row>
    <row r="778" spans="11:11" x14ac:dyDescent="0.45">
      <c r="K778">
        <v>48106.215322547112</v>
      </c>
    </row>
    <row r="779" spans="11:11" x14ac:dyDescent="0.45">
      <c r="K779">
        <v>64344.158644278934</v>
      </c>
    </row>
    <row r="780" spans="11:11" x14ac:dyDescent="0.45">
      <c r="K780">
        <v>80187.556316270435</v>
      </c>
    </row>
    <row r="781" spans="11:11" x14ac:dyDescent="0.45">
      <c r="K781">
        <v>57120.628752908495</v>
      </c>
    </row>
    <row r="782" spans="11:11" x14ac:dyDescent="0.45">
      <c r="K782">
        <v>111741.84714771458</v>
      </c>
    </row>
    <row r="783" spans="11:11" x14ac:dyDescent="0.45">
      <c r="K783">
        <v>81116.179746783368</v>
      </c>
    </row>
    <row r="784" spans="11:11" x14ac:dyDescent="0.45">
      <c r="K784">
        <v>72081.802426747148</v>
      </c>
    </row>
    <row r="785" spans="11:11" x14ac:dyDescent="0.45">
      <c r="K785">
        <v>75449.21855566428</v>
      </c>
    </row>
    <row r="786" spans="11:11" x14ac:dyDescent="0.45">
      <c r="K786">
        <v>68323.153642346762</v>
      </c>
    </row>
    <row r="787" spans="11:11" x14ac:dyDescent="0.45">
      <c r="K787">
        <v>68129.388187246528</v>
      </c>
    </row>
    <row r="788" spans="11:11" x14ac:dyDescent="0.45">
      <c r="K788">
        <v>74199.603264596764</v>
      </c>
    </row>
    <row r="789" spans="11:11" x14ac:dyDescent="0.45">
      <c r="K789">
        <v>49679.863580196528</v>
      </c>
    </row>
    <row r="790" spans="11:11" x14ac:dyDescent="0.45">
      <c r="K790">
        <v>27701.347746345527</v>
      </c>
    </row>
    <row r="791" spans="11:11" x14ac:dyDescent="0.45">
      <c r="K791">
        <v>40848.477815821636</v>
      </c>
    </row>
    <row r="792" spans="11:11" x14ac:dyDescent="0.45">
      <c r="K792">
        <v>82352.230622932257</v>
      </c>
    </row>
    <row r="793" spans="11:11" x14ac:dyDescent="0.45">
      <c r="K793">
        <v>60949.189730484679</v>
      </c>
    </row>
    <row r="794" spans="11:11" x14ac:dyDescent="0.45">
      <c r="K794">
        <v>47378.220737200259</v>
      </c>
    </row>
    <row r="795" spans="11:11" x14ac:dyDescent="0.45">
      <c r="K795">
        <v>72565.714118918011</v>
      </c>
    </row>
    <row r="796" spans="11:11" x14ac:dyDescent="0.45">
      <c r="K796">
        <v>89575.914007807383</v>
      </c>
    </row>
    <row r="797" spans="11:11" x14ac:dyDescent="0.45">
      <c r="K797">
        <v>78612.401562047628</v>
      </c>
    </row>
    <row r="798" spans="11:11" x14ac:dyDescent="0.45">
      <c r="K798">
        <v>73846.732401582718</v>
      </c>
    </row>
    <row r="799" spans="11:11" x14ac:dyDescent="0.45">
      <c r="K799">
        <v>63361.87185623344</v>
      </c>
    </row>
    <row r="800" spans="11:11" x14ac:dyDescent="0.45">
      <c r="K800">
        <v>64704.147986558215</v>
      </c>
    </row>
    <row r="801" spans="11:11" x14ac:dyDescent="0.45">
      <c r="K801">
        <v>64132.367845438683</v>
      </c>
    </row>
    <row r="802" spans="11:11" x14ac:dyDescent="0.45">
      <c r="K802">
        <v>73162.614993878524</v>
      </c>
    </row>
    <row r="803" spans="11:11" x14ac:dyDescent="0.45">
      <c r="K803">
        <v>70740.874005789548</v>
      </c>
    </row>
    <row r="804" spans="11:11" x14ac:dyDescent="0.45">
      <c r="K804">
        <v>97815.734124082563</v>
      </c>
    </row>
    <row r="805" spans="11:11" x14ac:dyDescent="0.45">
      <c r="K805">
        <v>55827.501586105827</v>
      </c>
    </row>
    <row r="806" spans="11:11" x14ac:dyDescent="0.45">
      <c r="K806">
        <v>69839.795956594695</v>
      </c>
    </row>
    <row r="807" spans="11:11" x14ac:dyDescent="0.45">
      <c r="K807">
        <v>75989.394181235402</v>
      </c>
    </row>
    <row r="808" spans="11:11" x14ac:dyDescent="0.45">
      <c r="K808">
        <v>74346.395397009299</v>
      </c>
    </row>
    <row r="809" spans="11:11" x14ac:dyDescent="0.45">
      <c r="K809">
        <v>72755.135742822007</v>
      </c>
    </row>
    <row r="810" spans="11:11" x14ac:dyDescent="0.45">
      <c r="K810">
        <v>70617.979237434978</v>
      </c>
    </row>
    <row r="811" spans="11:11" x14ac:dyDescent="0.45">
      <c r="K811">
        <v>95601.552609719874</v>
      </c>
    </row>
    <row r="812" spans="11:11" x14ac:dyDescent="0.45">
      <c r="K812">
        <v>73655.509792590092</v>
      </c>
    </row>
    <row r="813" spans="11:11" x14ac:dyDescent="0.45">
      <c r="K813">
        <v>52542.457275187509</v>
      </c>
    </row>
    <row r="814" spans="11:11" x14ac:dyDescent="0.45">
      <c r="K814">
        <v>102064.41464825059</v>
      </c>
    </row>
    <row r="815" spans="11:11" x14ac:dyDescent="0.45">
      <c r="K815">
        <v>42782.615063766207</v>
      </c>
    </row>
    <row r="816" spans="11:11" x14ac:dyDescent="0.45">
      <c r="K816">
        <v>69326.26707630149</v>
      </c>
    </row>
    <row r="817" spans="11:11" x14ac:dyDescent="0.45">
      <c r="K817">
        <v>65094.98072618575</v>
      </c>
    </row>
    <row r="818" spans="11:11" x14ac:dyDescent="0.45">
      <c r="K818">
        <v>49992.238812119256</v>
      </c>
    </row>
    <row r="819" spans="11:11" x14ac:dyDescent="0.45">
      <c r="K819">
        <v>69354.103529504006</v>
      </c>
    </row>
    <row r="820" spans="11:11" x14ac:dyDescent="0.45">
      <c r="K820">
        <v>78044.460948961554</v>
      </c>
    </row>
    <row r="821" spans="11:11" x14ac:dyDescent="0.45">
      <c r="K821">
        <v>59330.330624240778</v>
      </c>
    </row>
    <row r="822" spans="11:11" x14ac:dyDescent="0.45">
      <c r="K822">
        <v>78376.551211314349</v>
      </c>
    </row>
    <row r="823" spans="11:11" x14ac:dyDescent="0.45">
      <c r="K823">
        <v>88656.61818063457</v>
      </c>
    </row>
    <row r="824" spans="11:11" x14ac:dyDescent="0.45">
      <c r="K824">
        <v>82238.851399574633</v>
      </c>
    </row>
    <row r="825" spans="11:11" x14ac:dyDescent="0.45">
      <c r="K825">
        <v>78603.768271793015</v>
      </c>
    </row>
    <row r="826" spans="11:11" x14ac:dyDescent="0.45">
      <c r="K826">
        <v>45507.990079715062</v>
      </c>
    </row>
    <row r="827" spans="11:11" x14ac:dyDescent="0.45">
      <c r="K827">
        <v>49014.054662275506</v>
      </c>
    </row>
    <row r="828" spans="11:11" x14ac:dyDescent="0.45">
      <c r="K828">
        <v>63353.339216271699</v>
      </c>
    </row>
    <row r="829" spans="11:11" x14ac:dyDescent="0.45">
      <c r="K829">
        <v>76109.542922258639</v>
      </c>
    </row>
    <row r="830" spans="11:11" x14ac:dyDescent="0.45">
      <c r="K830">
        <v>71237.951289685996</v>
      </c>
    </row>
    <row r="831" spans="11:11" x14ac:dyDescent="0.45">
      <c r="K831">
        <v>69104.378192910823</v>
      </c>
    </row>
    <row r="832" spans="11:11" x14ac:dyDescent="0.45">
      <c r="K832">
        <v>75977.023060859632</v>
      </c>
    </row>
    <row r="833" spans="11:11" x14ac:dyDescent="0.45">
      <c r="K833">
        <v>57283.379385078944</v>
      </c>
    </row>
    <row r="834" spans="11:11" x14ac:dyDescent="0.45">
      <c r="K834">
        <v>79017.542882225258</v>
      </c>
    </row>
    <row r="835" spans="11:11" x14ac:dyDescent="0.45">
      <c r="K835">
        <v>102185.44128119911</v>
      </c>
    </row>
    <row r="836" spans="11:11" x14ac:dyDescent="0.45">
      <c r="K836">
        <v>78161.542876138134</v>
      </c>
    </row>
    <row r="837" spans="11:11" x14ac:dyDescent="0.45">
      <c r="K837">
        <v>63737.108366623404</v>
      </c>
    </row>
    <row r="838" spans="11:11" x14ac:dyDescent="0.45">
      <c r="K838">
        <v>90976.482640924514</v>
      </c>
    </row>
    <row r="839" spans="11:11" x14ac:dyDescent="0.45">
      <c r="K839">
        <v>90664.186936177153</v>
      </c>
    </row>
    <row r="840" spans="11:11" x14ac:dyDescent="0.45">
      <c r="K840">
        <v>61157.759417669709</v>
      </c>
    </row>
    <row r="841" spans="11:11" x14ac:dyDescent="0.45">
      <c r="K841">
        <v>74936.19100086081</v>
      </c>
    </row>
    <row r="842" spans="11:11" x14ac:dyDescent="0.45">
      <c r="K842">
        <v>60402.434936097445</v>
      </c>
    </row>
    <row r="843" spans="11:11" x14ac:dyDescent="0.45">
      <c r="K843">
        <v>71600.381974992226</v>
      </c>
    </row>
    <row r="844" spans="11:11" x14ac:dyDescent="0.45">
      <c r="K844">
        <v>42615.98094289533</v>
      </c>
    </row>
    <row r="845" spans="11:11" x14ac:dyDescent="0.45">
      <c r="K845">
        <v>67476.314830279094</v>
      </c>
    </row>
    <row r="846" spans="11:11" x14ac:dyDescent="0.45">
      <c r="K846">
        <v>45501.016874257024</v>
      </c>
    </row>
    <row r="847" spans="11:11" x14ac:dyDescent="0.45">
      <c r="K847">
        <v>65404.861211735719</v>
      </c>
    </row>
    <row r="848" spans="11:11" x14ac:dyDescent="0.45">
      <c r="K848">
        <v>62892.196623520111</v>
      </c>
    </row>
    <row r="849" spans="11:11" x14ac:dyDescent="0.45">
      <c r="K849">
        <v>91421.225033738185</v>
      </c>
    </row>
    <row r="850" spans="11:11" x14ac:dyDescent="0.45">
      <c r="K850">
        <v>98701.069203622275</v>
      </c>
    </row>
    <row r="851" spans="11:11" x14ac:dyDescent="0.45">
      <c r="K851">
        <v>60121.795858576501</v>
      </c>
    </row>
    <row r="852" spans="11:11" x14ac:dyDescent="0.45">
      <c r="K852">
        <v>58349.440858396898</v>
      </c>
    </row>
    <row r="853" spans="11:11" x14ac:dyDescent="0.45">
      <c r="K853">
        <v>70577.81626143321</v>
      </c>
    </row>
    <row r="854" spans="11:11" x14ac:dyDescent="0.45">
      <c r="K854">
        <v>77972.089501614144</v>
      </c>
    </row>
    <row r="855" spans="11:11" x14ac:dyDescent="0.45">
      <c r="K855">
        <v>52403.368236018301</v>
      </c>
    </row>
    <row r="856" spans="11:11" x14ac:dyDescent="0.45">
      <c r="K856">
        <v>74042.585829849864</v>
      </c>
    </row>
    <row r="857" spans="11:11" x14ac:dyDescent="0.45">
      <c r="K857">
        <v>58835.751032593282</v>
      </c>
    </row>
    <row r="858" spans="11:11" x14ac:dyDescent="0.45">
      <c r="K858">
        <v>71259.375745730591</v>
      </c>
    </row>
    <row r="859" spans="11:11" x14ac:dyDescent="0.45">
      <c r="K859">
        <v>67915.951595221748</v>
      </c>
    </row>
    <row r="860" spans="11:11" x14ac:dyDescent="0.45">
      <c r="K860">
        <v>41010.548225880702</v>
      </c>
    </row>
    <row r="861" spans="11:11" x14ac:dyDescent="0.45">
      <c r="K861">
        <v>59415.972066424518</v>
      </c>
    </row>
    <row r="862" spans="11:11" x14ac:dyDescent="0.45">
      <c r="K862">
        <v>56961.478056056993</v>
      </c>
    </row>
    <row r="863" spans="11:11" x14ac:dyDescent="0.45">
      <c r="K863">
        <v>95368.831310751848</v>
      </c>
    </row>
    <row r="864" spans="11:11" x14ac:dyDescent="0.45">
      <c r="K864">
        <v>58489.768478012615</v>
      </c>
    </row>
    <row r="865" spans="11:11" x14ac:dyDescent="0.45">
      <c r="K865">
        <v>58858.44324843416</v>
      </c>
    </row>
    <row r="866" spans="11:11" x14ac:dyDescent="0.45">
      <c r="K866">
        <v>98607.756374202407</v>
      </c>
    </row>
    <row r="867" spans="11:11" x14ac:dyDescent="0.45">
      <c r="K867">
        <v>80305.847810314968</v>
      </c>
    </row>
    <row r="868" spans="11:11" x14ac:dyDescent="0.45">
      <c r="K868">
        <v>98891.776756422769</v>
      </c>
    </row>
    <row r="869" spans="11:11" x14ac:dyDescent="0.45">
      <c r="K869">
        <v>43079.339254963168</v>
      </c>
    </row>
    <row r="870" spans="11:11" x14ac:dyDescent="0.45">
      <c r="K870">
        <v>58292.142368487621</v>
      </c>
    </row>
    <row r="871" spans="11:11" x14ac:dyDescent="0.45">
      <c r="K871">
        <v>68677.97232299867</v>
      </c>
    </row>
    <row r="872" spans="11:11" x14ac:dyDescent="0.45">
      <c r="K872">
        <v>64597.655190314159</v>
      </c>
    </row>
    <row r="873" spans="11:11" x14ac:dyDescent="0.45">
      <c r="K873">
        <v>57305.0470837424</v>
      </c>
    </row>
    <row r="874" spans="11:11" x14ac:dyDescent="0.45">
      <c r="K874">
        <v>72458.488259421079</v>
      </c>
    </row>
    <row r="875" spans="11:11" x14ac:dyDescent="0.45">
      <c r="K875">
        <v>65846.178778238202</v>
      </c>
    </row>
    <row r="876" spans="11:11" x14ac:dyDescent="0.45">
      <c r="K876">
        <v>51131.930159643074</v>
      </c>
    </row>
    <row r="877" spans="11:11" x14ac:dyDescent="0.45">
      <c r="K877">
        <v>65492.140693047695</v>
      </c>
    </row>
    <row r="878" spans="11:11" x14ac:dyDescent="0.45">
      <c r="K878">
        <v>82784.050692935183</v>
      </c>
    </row>
    <row r="879" spans="11:11" x14ac:dyDescent="0.45">
      <c r="K879">
        <v>86587.397290156892</v>
      </c>
    </row>
    <row r="880" spans="11:11" x14ac:dyDescent="0.45">
      <c r="K880">
        <v>69775.859510757975</v>
      </c>
    </row>
    <row r="881" spans="11:11" x14ac:dyDescent="0.45">
      <c r="K881">
        <v>66290.73348319059</v>
      </c>
    </row>
    <row r="882" spans="11:11" x14ac:dyDescent="0.45">
      <c r="K882">
        <v>91919.101322561051</v>
      </c>
    </row>
    <row r="883" spans="11:11" x14ac:dyDescent="0.45">
      <c r="K883">
        <v>77241.34488910262</v>
      </c>
    </row>
    <row r="884" spans="11:11" x14ac:dyDescent="0.45">
      <c r="K884">
        <v>50868.740358611714</v>
      </c>
    </row>
    <row r="885" spans="11:11" x14ac:dyDescent="0.45">
      <c r="K885">
        <v>76533.179958981462</v>
      </c>
    </row>
    <row r="886" spans="11:11" x14ac:dyDescent="0.45">
      <c r="K886">
        <v>55593.111213878175</v>
      </c>
    </row>
    <row r="887" spans="11:11" x14ac:dyDescent="0.45">
      <c r="K887">
        <v>74949.198757512568</v>
      </c>
    </row>
    <row r="888" spans="11:11" x14ac:dyDescent="0.45">
      <c r="K888">
        <v>57449.29093652447</v>
      </c>
    </row>
    <row r="889" spans="11:11" x14ac:dyDescent="0.45">
      <c r="K889">
        <v>83455.340830680798</v>
      </c>
    </row>
    <row r="890" spans="11:11" x14ac:dyDescent="0.45">
      <c r="K890">
        <v>50980.59666477509</v>
      </c>
    </row>
    <row r="891" spans="11:11" x14ac:dyDescent="0.45">
      <c r="K891">
        <v>89660.593701214995</v>
      </c>
    </row>
    <row r="892" spans="11:11" x14ac:dyDescent="0.45">
      <c r="K892">
        <v>85425.874523576189</v>
      </c>
    </row>
    <row r="893" spans="11:11" x14ac:dyDescent="0.45">
      <c r="K893">
        <v>75693.064614019735</v>
      </c>
    </row>
    <row r="894" spans="11:11" x14ac:dyDescent="0.45">
      <c r="K894">
        <v>62575.442280099815</v>
      </c>
    </row>
    <row r="895" spans="11:11" x14ac:dyDescent="0.45">
      <c r="K895">
        <v>50994.365528356611</v>
      </c>
    </row>
    <row r="896" spans="11:11" x14ac:dyDescent="0.45">
      <c r="K896">
        <v>58330.246775698994</v>
      </c>
    </row>
    <row r="897" spans="11:11" x14ac:dyDescent="0.45">
      <c r="K897">
        <v>65869.339467012309</v>
      </c>
    </row>
    <row r="898" spans="11:11" x14ac:dyDescent="0.45">
      <c r="K898">
        <v>92457.905944831349</v>
      </c>
    </row>
    <row r="899" spans="11:11" x14ac:dyDescent="0.45">
      <c r="K899">
        <v>68827.449959167236</v>
      </c>
    </row>
    <row r="900" spans="11:11" x14ac:dyDescent="0.45">
      <c r="K900">
        <v>69357.50644967462</v>
      </c>
    </row>
    <row r="901" spans="11:11" x14ac:dyDescent="0.45">
      <c r="K901">
        <v>70059.050419375038</v>
      </c>
    </row>
    <row r="902" spans="11:11" x14ac:dyDescent="0.45">
      <c r="K902">
        <v>56097.138932987953</v>
      </c>
    </row>
    <row r="903" spans="11:11" x14ac:dyDescent="0.45">
      <c r="K903">
        <v>69898.975371404536</v>
      </c>
    </row>
    <row r="904" spans="11:11" x14ac:dyDescent="0.45">
      <c r="K904">
        <v>14813.358789745129</v>
      </c>
    </row>
    <row r="905" spans="11:11" x14ac:dyDescent="0.45">
      <c r="K905">
        <v>40630.247002892938</v>
      </c>
    </row>
    <row r="906" spans="11:11" x14ac:dyDescent="0.45">
      <c r="K906">
        <v>91829.630686492135</v>
      </c>
    </row>
    <row r="907" spans="11:11" x14ac:dyDescent="0.45">
      <c r="K907">
        <v>52090.802895155008</v>
      </c>
    </row>
    <row r="908" spans="11:11" x14ac:dyDescent="0.45">
      <c r="K908">
        <v>66968.171474315575</v>
      </c>
    </row>
    <row r="909" spans="11:11" x14ac:dyDescent="0.45">
      <c r="K909">
        <v>40213.157679428783</v>
      </c>
    </row>
    <row r="910" spans="11:11" x14ac:dyDescent="0.45">
      <c r="K910">
        <v>72864.290113009964</v>
      </c>
    </row>
    <row r="911" spans="11:11" x14ac:dyDescent="0.45">
      <c r="K911">
        <v>59784.217095485001</v>
      </c>
    </row>
    <row r="912" spans="11:11" x14ac:dyDescent="0.45">
      <c r="K912">
        <v>70629.129489704414</v>
      </c>
    </row>
    <row r="913" spans="11:11" x14ac:dyDescent="0.45">
      <c r="K913">
        <v>82480.182299538108</v>
      </c>
    </row>
    <row r="914" spans="11:11" x14ac:dyDescent="0.45">
      <c r="K914">
        <v>44082.473106616315</v>
      </c>
    </row>
    <row r="915" spans="11:11" x14ac:dyDescent="0.45">
      <c r="K915">
        <v>42284.914508794362</v>
      </c>
    </row>
    <row r="916" spans="11:11" x14ac:dyDescent="0.45">
      <c r="K916">
        <v>60459.370818083233</v>
      </c>
    </row>
    <row r="917" spans="11:11" x14ac:dyDescent="0.45">
      <c r="K917">
        <v>109248.12801182149</v>
      </c>
    </row>
    <row r="918" spans="11:11" x14ac:dyDescent="0.45">
      <c r="K918">
        <v>112004.72437263883</v>
      </c>
    </row>
    <row r="919" spans="11:11" x14ac:dyDescent="0.45">
      <c r="K919">
        <v>61550.544379512998</v>
      </c>
    </row>
    <row r="920" spans="11:11" x14ac:dyDescent="0.45">
      <c r="K920">
        <v>84561.237142137805</v>
      </c>
    </row>
    <row r="921" spans="11:11" x14ac:dyDescent="0.45">
      <c r="K921">
        <v>88919.995958363012</v>
      </c>
    </row>
    <row r="922" spans="11:11" x14ac:dyDescent="0.45">
      <c r="K922">
        <v>53339.322996246745</v>
      </c>
    </row>
    <row r="923" spans="11:11" x14ac:dyDescent="0.45">
      <c r="K923">
        <v>50582.690632836006</v>
      </c>
    </row>
    <row r="924" spans="11:11" x14ac:dyDescent="0.45">
      <c r="K924">
        <v>60705.298931880614</v>
      </c>
    </row>
    <row r="925" spans="11:11" x14ac:dyDescent="0.45">
      <c r="K925">
        <v>32310.188347589705</v>
      </c>
    </row>
    <row r="926" spans="11:11" x14ac:dyDescent="0.45">
      <c r="K926">
        <v>49066.546386401227</v>
      </c>
    </row>
    <row r="927" spans="11:11" x14ac:dyDescent="0.45">
      <c r="K927">
        <v>63145.710597217498</v>
      </c>
    </row>
    <row r="928" spans="11:11" x14ac:dyDescent="0.45">
      <c r="K928">
        <v>71226.432115338539</v>
      </c>
    </row>
    <row r="929" spans="11:11" x14ac:dyDescent="0.45">
      <c r="K929">
        <v>90410.711136284954</v>
      </c>
    </row>
    <row r="930" spans="11:11" x14ac:dyDescent="0.45">
      <c r="K930">
        <v>68040.037371552666</v>
      </c>
    </row>
    <row r="931" spans="11:11" x14ac:dyDescent="0.45">
      <c r="K931">
        <v>65309.921101124717</v>
      </c>
    </row>
    <row r="932" spans="11:11" x14ac:dyDescent="0.45">
      <c r="K932">
        <v>73838.544851763785</v>
      </c>
    </row>
    <row r="933" spans="11:11" x14ac:dyDescent="0.45">
      <c r="K933">
        <v>48681.165913180012</v>
      </c>
    </row>
    <row r="934" spans="11:11" x14ac:dyDescent="0.45">
      <c r="K934">
        <v>49936.109070265171</v>
      </c>
    </row>
    <row r="935" spans="11:11" x14ac:dyDescent="0.45">
      <c r="K935">
        <v>60283.048059414985</v>
      </c>
    </row>
    <row r="936" spans="11:11" x14ac:dyDescent="0.45">
      <c r="K936">
        <v>70433.022900700002</v>
      </c>
    </row>
    <row r="937" spans="11:11" x14ac:dyDescent="0.45">
      <c r="K937">
        <v>76416.365288013025</v>
      </c>
    </row>
    <row r="938" spans="11:11" x14ac:dyDescent="0.45">
      <c r="K938">
        <v>70306.361963914285</v>
      </c>
    </row>
    <row r="939" spans="11:11" x14ac:dyDescent="0.45">
      <c r="K939">
        <v>58739.293032948844</v>
      </c>
    </row>
    <row r="940" spans="11:11" x14ac:dyDescent="0.45">
      <c r="K940">
        <v>52297.947156463801</v>
      </c>
    </row>
    <row r="941" spans="11:11" x14ac:dyDescent="0.45">
      <c r="K941">
        <v>99263.608576570463</v>
      </c>
    </row>
    <row r="942" spans="11:11" x14ac:dyDescent="0.45">
      <c r="K942">
        <v>79148.850132507214</v>
      </c>
    </row>
    <row r="943" spans="11:11" x14ac:dyDescent="0.45">
      <c r="K943">
        <v>41309.487024983711</v>
      </c>
    </row>
    <row r="944" spans="11:11" x14ac:dyDescent="0.45">
      <c r="K944">
        <v>36911.423287596634</v>
      </c>
    </row>
    <row r="945" spans="11:11" x14ac:dyDescent="0.45">
      <c r="K945">
        <v>80900.708489283643</v>
      </c>
    </row>
    <row r="946" spans="11:11" x14ac:dyDescent="0.45">
      <c r="K946">
        <v>63774.897991881851</v>
      </c>
    </row>
    <row r="947" spans="11:11" x14ac:dyDescent="0.45">
      <c r="K947">
        <v>98163.186923925401</v>
      </c>
    </row>
    <row r="948" spans="11:11" x14ac:dyDescent="0.45">
      <c r="K948">
        <v>78001.243118897983</v>
      </c>
    </row>
    <row r="949" spans="11:11" x14ac:dyDescent="0.45">
      <c r="K949">
        <v>62335.332062040987</v>
      </c>
    </row>
    <row r="950" spans="11:11" x14ac:dyDescent="0.45">
      <c r="K950">
        <v>60071.609677881694</v>
      </c>
    </row>
    <row r="951" spans="11:11" x14ac:dyDescent="0.45">
      <c r="K951">
        <v>50113.578796806702</v>
      </c>
    </row>
    <row r="952" spans="11:11" x14ac:dyDescent="0.45">
      <c r="K952">
        <v>87915.712968696054</v>
      </c>
    </row>
    <row r="953" spans="11:11" x14ac:dyDescent="0.45">
      <c r="K953">
        <v>110976.29772580288</v>
      </c>
    </row>
    <row r="954" spans="11:11" x14ac:dyDescent="0.45">
      <c r="K954">
        <v>68522.382183661233</v>
      </c>
    </row>
    <row r="955" spans="11:11" x14ac:dyDescent="0.45">
      <c r="K955">
        <v>51663.88203484453</v>
      </c>
    </row>
    <row r="956" spans="11:11" x14ac:dyDescent="0.45">
      <c r="K956">
        <v>69033.726275317982</v>
      </c>
    </row>
    <row r="957" spans="11:11" x14ac:dyDescent="0.45">
      <c r="K957">
        <v>66094.206979863913</v>
      </c>
    </row>
    <row r="958" spans="11:11" x14ac:dyDescent="0.45">
      <c r="K958">
        <v>88284.337773031308</v>
      </c>
    </row>
    <row r="959" spans="11:11" x14ac:dyDescent="0.45">
      <c r="K959">
        <v>78123.56456192219</v>
      </c>
    </row>
    <row r="960" spans="11:11" x14ac:dyDescent="0.45">
      <c r="K960">
        <v>64055.557298167783</v>
      </c>
    </row>
    <row r="961" spans="11:11" x14ac:dyDescent="0.45">
      <c r="K961">
        <v>71635.373135373069</v>
      </c>
    </row>
    <row r="962" spans="11:11" x14ac:dyDescent="0.45">
      <c r="K962">
        <v>74745.93036741385</v>
      </c>
    </row>
    <row r="963" spans="11:11" x14ac:dyDescent="0.45">
      <c r="K963">
        <v>82509.81738771488</v>
      </c>
    </row>
    <row r="964" spans="11:11" x14ac:dyDescent="0.45">
      <c r="K964">
        <v>55508.527933117774</v>
      </c>
    </row>
    <row r="965" spans="11:11" x14ac:dyDescent="0.45">
      <c r="K965">
        <v>77856.973838690974</v>
      </c>
    </row>
    <row r="966" spans="11:11" x14ac:dyDescent="0.45">
      <c r="K966">
        <v>75694.762036445376</v>
      </c>
    </row>
    <row r="967" spans="11:11" x14ac:dyDescent="0.45">
      <c r="K967">
        <v>74043.948943423631</v>
      </c>
    </row>
    <row r="968" spans="11:11" x14ac:dyDescent="0.45">
      <c r="K968">
        <v>105977.26515224387</v>
      </c>
    </row>
    <row r="969" spans="11:11" x14ac:dyDescent="0.45">
      <c r="K969">
        <v>56817.001574369817</v>
      </c>
    </row>
    <row r="970" spans="11:11" x14ac:dyDescent="0.45">
      <c r="K970">
        <v>84690.091216501853</v>
      </c>
    </row>
    <row r="971" spans="11:11" x14ac:dyDescent="0.45">
      <c r="K971">
        <v>71827.969865318257</v>
      </c>
    </row>
    <row r="972" spans="11:11" x14ac:dyDescent="0.45">
      <c r="K972">
        <v>77889.106632399475</v>
      </c>
    </row>
    <row r="973" spans="11:11" x14ac:dyDescent="0.45">
      <c r="K973">
        <v>70469.718469327112</v>
      </c>
    </row>
    <row r="974" spans="11:11" x14ac:dyDescent="0.45">
      <c r="K974">
        <v>109629.10446960837</v>
      </c>
    </row>
    <row r="975" spans="11:11" x14ac:dyDescent="0.45">
      <c r="K975">
        <v>75459.862551241007</v>
      </c>
    </row>
    <row r="976" spans="11:11" x14ac:dyDescent="0.45">
      <c r="K976">
        <v>64130.673599493544</v>
      </c>
    </row>
    <row r="977" spans="11:11" x14ac:dyDescent="0.45">
      <c r="K977">
        <v>62819.236616873452</v>
      </c>
    </row>
    <row r="978" spans="11:11" x14ac:dyDescent="0.45">
      <c r="K978">
        <v>50229.780699529249</v>
      </c>
    </row>
    <row r="979" spans="11:11" x14ac:dyDescent="0.45">
      <c r="K979">
        <v>72125.243144453445</v>
      </c>
    </row>
    <row r="980" spans="11:11" x14ac:dyDescent="0.45">
      <c r="K980">
        <v>98596.270843222461</v>
      </c>
    </row>
    <row r="981" spans="11:11" x14ac:dyDescent="0.45">
      <c r="K981">
        <v>62556.598385869722</v>
      </c>
    </row>
    <row r="982" spans="11:11" x14ac:dyDescent="0.45">
      <c r="K982">
        <v>75781.338395906365</v>
      </c>
    </row>
    <row r="983" spans="11:11" x14ac:dyDescent="0.45">
      <c r="K983">
        <v>60819.226893853964</v>
      </c>
    </row>
    <row r="984" spans="11:11" x14ac:dyDescent="0.45">
      <c r="K984">
        <v>83420.433052950801</v>
      </c>
    </row>
    <row r="985" spans="11:11" x14ac:dyDescent="0.45">
      <c r="K985">
        <v>71460.604376070303</v>
      </c>
    </row>
    <row r="986" spans="11:11" x14ac:dyDescent="0.45">
      <c r="K986">
        <v>58452.692142292137</v>
      </c>
    </row>
    <row r="987" spans="11:11" x14ac:dyDescent="0.45">
      <c r="K987">
        <v>84440.347834946311</v>
      </c>
    </row>
    <row r="988" spans="11:11" x14ac:dyDescent="0.45">
      <c r="K988">
        <v>66279.746770073762</v>
      </c>
    </row>
    <row r="989" spans="11:11" x14ac:dyDescent="0.45">
      <c r="K989">
        <v>68694.986084391945</v>
      </c>
    </row>
    <row r="990" spans="11:11" x14ac:dyDescent="0.45">
      <c r="K990">
        <v>50551.693538430918</v>
      </c>
    </row>
    <row r="991" spans="11:11" x14ac:dyDescent="0.45">
      <c r="K991">
        <v>55321.831031549911</v>
      </c>
    </row>
    <row r="992" spans="11:11" x14ac:dyDescent="0.45">
      <c r="K992">
        <v>80115.6071820855</v>
      </c>
    </row>
    <row r="993" spans="11:11" x14ac:dyDescent="0.45">
      <c r="K993">
        <v>40756.097727372806</v>
      </c>
    </row>
    <row r="994" spans="11:11" x14ac:dyDescent="0.45">
      <c r="K994">
        <v>51111.177114305159</v>
      </c>
    </row>
    <row r="995" spans="11:11" x14ac:dyDescent="0.45">
      <c r="K995">
        <v>92263.770241879218</v>
      </c>
    </row>
    <row r="996" spans="11:11" x14ac:dyDescent="0.45">
      <c r="K996">
        <v>73643.153448688943</v>
      </c>
    </row>
    <row r="997" spans="11:11" x14ac:dyDescent="0.45">
      <c r="K997">
        <v>59356.883576940141</v>
      </c>
    </row>
    <row r="998" spans="11:11" x14ac:dyDescent="0.45">
      <c r="K998">
        <v>85653.312547816779</v>
      </c>
    </row>
    <row r="999" spans="11:11" x14ac:dyDescent="0.45">
      <c r="K999">
        <v>79910.623215545114</v>
      </c>
    </row>
    <row r="1000" spans="11:11" x14ac:dyDescent="0.45">
      <c r="K1000">
        <v>76534.993066858253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DE57C-442A-47D7-B642-4A12D64AFE24}">
  <sheetPr codeName="Sheet3"/>
  <dimension ref="A1:Q1000"/>
  <sheetViews>
    <sheetView workbookViewId="0">
      <selection activeCell="C3" sqref="C3"/>
    </sheetView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79202.546725724591</v>
      </c>
      <c r="M1" s="1">
        <f>AVERAGE(K1:K10000)</f>
        <v>68662.662775603705</v>
      </c>
    </row>
    <row r="2" spans="1:17" x14ac:dyDescent="0.45">
      <c r="C2" t="s">
        <v>0</v>
      </c>
      <c r="D2" t="s">
        <v>1</v>
      </c>
      <c r="K2">
        <v>87297.133729232941</v>
      </c>
      <c r="M2" s="1">
        <f>_xlfn.STDEV.S(K1:K10000)</f>
        <v>11526.273722511422</v>
      </c>
    </row>
    <row r="3" spans="1:17" x14ac:dyDescent="0.45">
      <c r="B3" t="s">
        <v>8</v>
      </c>
      <c r="C3" s="1">
        <f>68859</f>
        <v>68859</v>
      </c>
      <c r="D3" s="1">
        <v>11499</v>
      </c>
      <c r="K3">
        <v>54319.285879494782</v>
      </c>
      <c r="O3" s="3"/>
      <c r="P3" s="4"/>
      <c r="Q3" s="5"/>
    </row>
    <row r="4" spans="1:17" x14ac:dyDescent="0.45">
      <c r="K4">
        <v>66531.283071150028</v>
      </c>
      <c r="O4" s="6"/>
      <c r="P4" s="7"/>
      <c r="Q4" s="8"/>
    </row>
    <row r="5" spans="1:17" x14ac:dyDescent="0.45">
      <c r="B5" t="s">
        <v>2</v>
      </c>
      <c r="C5" s="1">
        <f ca="1">_xlfn.NORM.INV(RAND(),$C$3,$D$3)</f>
        <v>76276.916994529165</v>
      </c>
      <c r="K5">
        <v>83685.380407904158</v>
      </c>
      <c r="O5" s="6"/>
      <c r="P5" s="7"/>
      <c r="Q5" s="8"/>
    </row>
    <row r="6" spans="1:17" x14ac:dyDescent="0.45">
      <c r="K6">
        <v>72680.615967170103</v>
      </c>
      <c r="O6" s="6"/>
      <c r="P6" s="7"/>
      <c r="Q6" s="8"/>
    </row>
    <row r="7" spans="1:17" x14ac:dyDescent="0.45">
      <c r="E7" s="2">
        <f ca="1">_xlfn.NORM.INV(RAND(),$C$3,$D$3)</f>
        <v>84023.279436345299</v>
      </c>
      <c r="F7" s="2">
        <f t="shared" ref="F7:I7" ca="1" si="0">_xlfn.NORM.INV(RAND(),$C$3,$D$3)</f>
        <v>75833.778158053086</v>
      </c>
      <c r="G7" s="2">
        <f t="shared" ca="1" si="0"/>
        <v>75503.995494662711</v>
      </c>
      <c r="H7" s="2">
        <f t="shared" ca="1" si="0"/>
        <v>69158.11824803245</v>
      </c>
      <c r="I7" s="2">
        <f t="shared" ca="1" si="0"/>
        <v>72086.873064047759</v>
      </c>
      <c r="K7">
        <v>63404.316059205135</v>
      </c>
      <c r="O7" s="6"/>
      <c r="P7" s="7"/>
      <c r="Q7" s="8"/>
    </row>
    <row r="8" spans="1:17" x14ac:dyDescent="0.45">
      <c r="B8" t="s">
        <v>3</v>
      </c>
      <c r="C8">
        <v>1000</v>
      </c>
      <c r="K8">
        <v>58435.337343735191</v>
      </c>
      <c r="O8" s="6"/>
      <c r="P8" s="7"/>
      <c r="Q8" s="8"/>
    </row>
    <row r="9" spans="1:17" x14ac:dyDescent="0.45">
      <c r="B9" t="s">
        <v>4</v>
      </c>
      <c r="C9">
        <v>1000</v>
      </c>
      <c r="K9">
        <v>50670.102883544198</v>
      </c>
      <c r="O9" s="6"/>
      <c r="P9" s="7"/>
      <c r="Q9" s="8"/>
    </row>
    <row r="10" spans="1:17" x14ac:dyDescent="0.45">
      <c r="B10" t="s">
        <v>6</v>
      </c>
      <c r="C10" s="1">
        <f>MAX(K:K)</f>
        <v>100088.34769603067</v>
      </c>
      <c r="K10">
        <v>75683.727996935311</v>
      </c>
      <c r="O10" s="6"/>
      <c r="P10" s="7"/>
      <c r="Q10" s="8"/>
    </row>
    <row r="11" spans="1:17" x14ac:dyDescent="0.45">
      <c r="B11" t="s">
        <v>5</v>
      </c>
      <c r="C11" s="1">
        <f>MIN(K:K)</f>
        <v>20086.533597630754</v>
      </c>
      <c r="E11" s="1">
        <f>ROUNDDOWN((C10-C11)/100,0)</f>
        <v>800</v>
      </c>
      <c r="K11">
        <v>82617.19654581607</v>
      </c>
      <c r="O11" s="6"/>
      <c r="P11" s="7"/>
      <c r="Q11" s="8"/>
    </row>
    <row r="12" spans="1:17" x14ac:dyDescent="0.45">
      <c r="K12">
        <v>64081.241105606336</v>
      </c>
      <c r="O12" s="6"/>
      <c r="P12" s="7"/>
      <c r="Q12" s="8"/>
    </row>
    <row r="13" spans="1:17" x14ac:dyDescent="0.45">
      <c r="A13" s="1">
        <f>ROUNDDOWN(C11,0)</f>
        <v>20086</v>
      </c>
      <c r="B13">
        <f>COUNTIFS($K$1:$K$1000,"&gt;="&amp; A13,$K$1:$K$1000,"&lt;="&amp; A14)</f>
        <v>1</v>
      </c>
      <c r="C13" s="2"/>
      <c r="K13">
        <v>87593.915607756979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21686.036281967998</v>
      </c>
      <c r="B14">
        <f t="shared" ref="B14:B61" si="1">COUNTIFS($K$1:$K$1000,"&gt;="&amp; A14,$K$1:$K$1000,"&lt;="&amp; A15)</f>
        <v>0</v>
      </c>
      <c r="C14" s="2"/>
      <c r="K14">
        <v>78201.432895288075</v>
      </c>
      <c r="O14" s="6"/>
      <c r="P14" s="7"/>
      <c r="Q14" s="8"/>
    </row>
    <row r="15" spans="1:17" x14ac:dyDescent="0.45">
      <c r="A15" s="1">
        <f t="shared" ref="A15:A63" si="2">IF(A14+($C$10-$C$11)/50&lt;=$C$10,A14+($C$10-$C$11)/50,MAX(A14+($C$10-$C$11)/50,$C$10))</f>
        <v>23286.072563935995</v>
      </c>
      <c r="B15">
        <f t="shared" si="1"/>
        <v>0</v>
      </c>
      <c r="C15" s="2"/>
      <c r="K15">
        <v>40579.263912235634</v>
      </c>
      <c r="O15" s="6"/>
      <c r="P15" s="7"/>
      <c r="Q15" s="8"/>
    </row>
    <row r="16" spans="1:17" x14ac:dyDescent="0.45">
      <c r="A16" s="1">
        <f t="shared" si="2"/>
        <v>24886.108845903993</v>
      </c>
      <c r="B16">
        <f t="shared" si="1"/>
        <v>0</v>
      </c>
      <c r="C16" s="2"/>
      <c r="K16">
        <v>72766.876322409749</v>
      </c>
      <c r="O16" s="6"/>
      <c r="P16" s="7"/>
      <c r="Q16" s="8"/>
    </row>
    <row r="17" spans="1:17" x14ac:dyDescent="0.45">
      <c r="A17" s="1">
        <f t="shared" si="2"/>
        <v>26486.145127871991</v>
      </c>
      <c r="B17">
        <f t="shared" si="1"/>
        <v>0</v>
      </c>
      <c r="C17" s="2"/>
      <c r="K17">
        <v>94186.10111657402</v>
      </c>
      <c r="O17" s="6"/>
      <c r="P17" s="7"/>
      <c r="Q17" s="8"/>
    </row>
    <row r="18" spans="1:17" x14ac:dyDescent="0.45">
      <c r="A18" s="1">
        <f t="shared" si="2"/>
        <v>28086.181409839988</v>
      </c>
      <c r="B18">
        <f t="shared" si="1"/>
        <v>0</v>
      </c>
      <c r="C18" s="2"/>
      <c r="K18">
        <v>58830.028030444744</v>
      </c>
      <c r="O18" s="6"/>
      <c r="P18" s="7"/>
      <c r="Q18" s="8"/>
    </row>
    <row r="19" spans="1:17" x14ac:dyDescent="0.45">
      <c r="A19" s="1">
        <f t="shared" si="2"/>
        <v>29686.217691807986</v>
      </c>
      <c r="B19">
        <f t="shared" si="1"/>
        <v>0</v>
      </c>
      <c r="C19" s="2"/>
      <c r="K19">
        <v>80583.084653394573</v>
      </c>
      <c r="O19" s="6"/>
      <c r="P19" s="7"/>
      <c r="Q19" s="8"/>
    </row>
    <row r="20" spans="1:17" x14ac:dyDescent="0.45">
      <c r="A20" s="1">
        <f t="shared" si="2"/>
        <v>31286.253973775983</v>
      </c>
      <c r="B20">
        <f t="shared" si="1"/>
        <v>0</v>
      </c>
      <c r="C20" s="2"/>
      <c r="K20">
        <v>69511.398155578936</v>
      </c>
      <c r="O20" s="9"/>
      <c r="P20" s="10"/>
      <c r="Q20" s="11"/>
    </row>
    <row r="21" spans="1:17" x14ac:dyDescent="0.45">
      <c r="A21" s="1">
        <f t="shared" si="2"/>
        <v>32886.290255743981</v>
      </c>
      <c r="B21">
        <f t="shared" si="1"/>
        <v>0</v>
      </c>
      <c r="C21" s="2"/>
      <c r="K21">
        <v>59670.528554718352</v>
      </c>
    </row>
    <row r="22" spans="1:17" x14ac:dyDescent="0.45">
      <c r="A22" s="1">
        <f t="shared" si="2"/>
        <v>34486.326537711982</v>
      </c>
      <c r="B22">
        <f t="shared" si="1"/>
        <v>1</v>
      </c>
      <c r="C22" s="2"/>
      <c r="K22">
        <v>76231.535061349685</v>
      </c>
    </row>
    <row r="23" spans="1:17" x14ac:dyDescent="0.45">
      <c r="A23" s="1">
        <f t="shared" si="2"/>
        <v>36086.362819679984</v>
      </c>
      <c r="B23">
        <f t="shared" si="1"/>
        <v>0</v>
      </c>
      <c r="C23" s="2"/>
      <c r="K23">
        <v>71730.778624069775</v>
      </c>
    </row>
    <row r="24" spans="1:17" x14ac:dyDescent="0.45">
      <c r="A24" s="1">
        <f t="shared" si="2"/>
        <v>37686.399101647985</v>
      </c>
      <c r="B24">
        <f t="shared" si="1"/>
        <v>3</v>
      </c>
      <c r="C24" s="2"/>
      <c r="K24">
        <v>70593.327039784723</v>
      </c>
    </row>
    <row r="25" spans="1:17" x14ac:dyDescent="0.45">
      <c r="A25" s="1">
        <f t="shared" si="2"/>
        <v>39286.435383615986</v>
      </c>
      <c r="B25">
        <f t="shared" si="1"/>
        <v>2</v>
      </c>
      <c r="C25" s="2"/>
      <c r="K25">
        <v>87847.617930136897</v>
      </c>
    </row>
    <row r="26" spans="1:17" x14ac:dyDescent="0.45">
      <c r="A26" s="1">
        <f t="shared" si="2"/>
        <v>40886.471665583987</v>
      </c>
      <c r="B26">
        <f t="shared" si="1"/>
        <v>5</v>
      </c>
      <c r="C26" s="2"/>
      <c r="K26">
        <v>65153.83358391939</v>
      </c>
    </row>
    <row r="27" spans="1:17" x14ac:dyDescent="0.45">
      <c r="A27" s="1">
        <f t="shared" si="2"/>
        <v>42486.507947551989</v>
      </c>
      <c r="B27">
        <f t="shared" si="1"/>
        <v>7</v>
      </c>
      <c r="C27" s="2"/>
      <c r="K27">
        <v>85537.078550809878</v>
      </c>
    </row>
    <row r="28" spans="1:17" x14ac:dyDescent="0.45">
      <c r="A28" s="1">
        <f t="shared" si="2"/>
        <v>44086.54422951999</v>
      </c>
      <c r="B28">
        <f t="shared" si="1"/>
        <v>7</v>
      </c>
      <c r="C28" s="2"/>
      <c r="K28">
        <v>58631.135021753558</v>
      </c>
    </row>
    <row r="29" spans="1:17" x14ac:dyDescent="0.45">
      <c r="A29" s="1">
        <f t="shared" si="2"/>
        <v>45686.580511487991</v>
      </c>
      <c r="B29">
        <f t="shared" si="1"/>
        <v>6</v>
      </c>
      <c r="C29" s="2"/>
      <c r="K29">
        <v>55935.920555194039</v>
      </c>
    </row>
    <row r="30" spans="1:17" x14ac:dyDescent="0.45">
      <c r="A30" s="1">
        <f t="shared" si="2"/>
        <v>47286.616793455993</v>
      </c>
      <c r="B30">
        <f t="shared" si="1"/>
        <v>11</v>
      </c>
      <c r="C30" s="2"/>
      <c r="K30">
        <v>82486.208315006501</v>
      </c>
    </row>
    <row r="31" spans="1:17" x14ac:dyDescent="0.45">
      <c r="A31" s="1">
        <f t="shared" si="2"/>
        <v>48886.653075423994</v>
      </c>
      <c r="B31">
        <f t="shared" si="1"/>
        <v>8</v>
      </c>
      <c r="C31" s="2"/>
      <c r="K31">
        <v>60115.540786037709</v>
      </c>
    </row>
    <row r="32" spans="1:17" x14ac:dyDescent="0.45">
      <c r="A32" s="1">
        <f t="shared" si="2"/>
        <v>50486.689357391995</v>
      </c>
      <c r="B32">
        <f t="shared" si="1"/>
        <v>24</v>
      </c>
      <c r="C32" s="2"/>
      <c r="K32">
        <v>68956.949185575984</v>
      </c>
    </row>
    <row r="33" spans="1:11" x14ac:dyDescent="0.45">
      <c r="A33" s="1">
        <f t="shared" si="2"/>
        <v>52086.725639359996</v>
      </c>
      <c r="B33">
        <f t="shared" si="1"/>
        <v>21</v>
      </c>
      <c r="C33" s="2"/>
      <c r="K33">
        <v>56707.162452793229</v>
      </c>
    </row>
    <row r="34" spans="1:11" x14ac:dyDescent="0.45">
      <c r="A34" s="1">
        <f t="shared" si="2"/>
        <v>53686.761921327998</v>
      </c>
      <c r="B34">
        <f t="shared" si="1"/>
        <v>31</v>
      </c>
      <c r="C34" s="2"/>
      <c r="K34">
        <v>96719.071028579056</v>
      </c>
    </row>
    <row r="35" spans="1:11" x14ac:dyDescent="0.45">
      <c r="A35" s="1">
        <f t="shared" si="2"/>
        <v>55286.798203295999</v>
      </c>
      <c r="B35">
        <f t="shared" si="1"/>
        <v>29</v>
      </c>
      <c r="C35" s="2"/>
      <c r="K35">
        <v>59062.939445024494</v>
      </c>
    </row>
    <row r="36" spans="1:11" x14ac:dyDescent="0.45">
      <c r="A36" s="1">
        <f t="shared" si="2"/>
        <v>56886.834485264</v>
      </c>
      <c r="B36">
        <f t="shared" si="1"/>
        <v>41</v>
      </c>
      <c r="C36" s="2"/>
      <c r="K36">
        <v>73920.002344543376</v>
      </c>
    </row>
    <row r="37" spans="1:11" x14ac:dyDescent="0.45">
      <c r="A37" s="1">
        <f t="shared" si="2"/>
        <v>58486.870767232002</v>
      </c>
      <c r="B37">
        <f t="shared" si="1"/>
        <v>45</v>
      </c>
      <c r="C37" s="2"/>
      <c r="K37">
        <v>67207.716812188926</v>
      </c>
    </row>
    <row r="38" spans="1:11" x14ac:dyDescent="0.45">
      <c r="A38" s="1">
        <f t="shared" si="2"/>
        <v>60086.907049200003</v>
      </c>
      <c r="B38">
        <f t="shared" si="1"/>
        <v>42</v>
      </c>
      <c r="C38" s="2"/>
      <c r="K38">
        <v>66829.588377772699</v>
      </c>
    </row>
    <row r="39" spans="1:11" x14ac:dyDescent="0.45">
      <c r="A39" s="1">
        <f t="shared" si="2"/>
        <v>61686.943331168004</v>
      </c>
      <c r="B39">
        <f t="shared" si="1"/>
        <v>33</v>
      </c>
      <c r="C39" s="2"/>
      <c r="K39">
        <v>70861.298619706751</v>
      </c>
    </row>
    <row r="40" spans="1:11" x14ac:dyDescent="0.45">
      <c r="A40" s="1">
        <f t="shared" si="2"/>
        <v>63286.979613136005</v>
      </c>
      <c r="B40">
        <f t="shared" si="1"/>
        <v>47</v>
      </c>
      <c r="C40" s="2"/>
      <c r="K40">
        <v>76563.876103787799</v>
      </c>
    </row>
    <row r="41" spans="1:11" x14ac:dyDescent="0.45">
      <c r="A41" s="1">
        <f t="shared" si="2"/>
        <v>64887.015895104007</v>
      </c>
      <c r="B41">
        <f t="shared" si="1"/>
        <v>51</v>
      </c>
      <c r="C41" s="2"/>
      <c r="K41">
        <v>82209.870235994196</v>
      </c>
    </row>
    <row r="42" spans="1:11" x14ac:dyDescent="0.45">
      <c r="A42" s="1">
        <f t="shared" si="2"/>
        <v>66487.052177072008</v>
      </c>
      <c r="B42">
        <f t="shared" si="1"/>
        <v>69</v>
      </c>
      <c r="C42" s="2"/>
      <c r="K42">
        <v>73482.404808209933</v>
      </c>
    </row>
    <row r="43" spans="1:11" x14ac:dyDescent="0.45">
      <c r="A43" s="1">
        <f t="shared" si="2"/>
        <v>68087.088459040009</v>
      </c>
      <c r="B43">
        <f t="shared" si="1"/>
        <v>48</v>
      </c>
      <c r="C43" s="2"/>
      <c r="K43">
        <v>58878.154643581991</v>
      </c>
    </row>
    <row r="44" spans="1:11" x14ac:dyDescent="0.45">
      <c r="A44" s="1">
        <f t="shared" si="2"/>
        <v>69687.12474100801</v>
      </c>
      <c r="B44">
        <f t="shared" si="1"/>
        <v>53</v>
      </c>
      <c r="C44" s="2"/>
      <c r="K44">
        <v>75838.249668721954</v>
      </c>
    </row>
    <row r="45" spans="1:11" x14ac:dyDescent="0.45">
      <c r="A45" s="1">
        <f t="shared" si="2"/>
        <v>71287.161022976012</v>
      </c>
      <c r="B45">
        <f t="shared" si="1"/>
        <v>51</v>
      </c>
      <c r="C45" s="2"/>
      <c r="K45">
        <v>74321.638154243206</v>
      </c>
    </row>
    <row r="46" spans="1:11" x14ac:dyDescent="0.45">
      <c r="A46" s="1">
        <f t="shared" si="2"/>
        <v>72887.197304944013</v>
      </c>
      <c r="B46">
        <f t="shared" si="1"/>
        <v>51</v>
      </c>
      <c r="C46" s="2"/>
      <c r="K46">
        <v>46375.035761016887</v>
      </c>
    </row>
    <row r="47" spans="1:11" x14ac:dyDescent="0.45">
      <c r="A47" s="1">
        <f t="shared" si="2"/>
        <v>74487.233586912014</v>
      </c>
      <c r="B47">
        <f t="shared" si="1"/>
        <v>46</v>
      </c>
      <c r="C47" s="2"/>
      <c r="K47">
        <v>67392.687384321107</v>
      </c>
    </row>
    <row r="48" spans="1:11" x14ac:dyDescent="0.45">
      <c r="A48" s="1">
        <f t="shared" si="2"/>
        <v>76087.269868880016</v>
      </c>
      <c r="B48">
        <f t="shared" si="1"/>
        <v>44</v>
      </c>
      <c r="C48" s="2"/>
      <c r="K48">
        <v>49096.056193296477</v>
      </c>
    </row>
    <row r="49" spans="1:11" x14ac:dyDescent="0.45">
      <c r="A49" s="1">
        <f t="shared" si="2"/>
        <v>77687.306150848017</v>
      </c>
      <c r="B49">
        <f t="shared" si="1"/>
        <v>40</v>
      </c>
      <c r="C49" s="2"/>
      <c r="K49">
        <v>74654.482985748909</v>
      </c>
    </row>
    <row r="50" spans="1:11" x14ac:dyDescent="0.45">
      <c r="A50" s="1">
        <f t="shared" si="2"/>
        <v>79287.342432816018</v>
      </c>
      <c r="B50">
        <f t="shared" si="1"/>
        <v>26</v>
      </c>
      <c r="C50" s="2"/>
      <c r="K50">
        <v>62074.49794913824</v>
      </c>
    </row>
    <row r="51" spans="1:11" x14ac:dyDescent="0.45">
      <c r="A51" s="1">
        <f t="shared" si="2"/>
        <v>80887.378714784019</v>
      </c>
      <c r="B51">
        <f t="shared" si="1"/>
        <v>39</v>
      </c>
      <c r="C51" s="2"/>
      <c r="K51">
        <v>73456.128961861483</v>
      </c>
    </row>
    <row r="52" spans="1:11" x14ac:dyDescent="0.45">
      <c r="A52" s="1">
        <f t="shared" si="2"/>
        <v>82487.414996752021</v>
      </c>
      <c r="B52">
        <f t="shared" si="1"/>
        <v>30</v>
      </c>
      <c r="C52" s="2"/>
      <c r="K52">
        <v>58572.803728338491</v>
      </c>
    </row>
    <row r="53" spans="1:11" x14ac:dyDescent="0.45">
      <c r="A53" s="1">
        <f t="shared" si="2"/>
        <v>84087.451278720022</v>
      </c>
      <c r="B53">
        <f t="shared" si="1"/>
        <v>21</v>
      </c>
      <c r="C53" s="2"/>
      <c r="K53">
        <v>75465.105135023463</v>
      </c>
    </row>
    <row r="54" spans="1:11" x14ac:dyDescent="0.45">
      <c r="A54" s="1">
        <f t="shared" si="2"/>
        <v>85687.487560688023</v>
      </c>
      <c r="B54">
        <f t="shared" si="1"/>
        <v>16</v>
      </c>
      <c r="C54" s="2"/>
      <c r="K54">
        <v>74626.819683106063</v>
      </c>
    </row>
    <row r="55" spans="1:11" x14ac:dyDescent="0.45">
      <c r="A55" s="1">
        <f t="shared" si="2"/>
        <v>87287.523842656024</v>
      </c>
      <c r="B55">
        <f t="shared" si="1"/>
        <v>16</v>
      </c>
      <c r="C55" s="2"/>
      <c r="K55">
        <v>80705.844675497297</v>
      </c>
    </row>
    <row r="56" spans="1:11" x14ac:dyDescent="0.45">
      <c r="A56" s="1">
        <f t="shared" si="2"/>
        <v>88887.560124624026</v>
      </c>
      <c r="B56">
        <f t="shared" si="1"/>
        <v>10</v>
      </c>
      <c r="C56" s="2"/>
      <c r="K56">
        <v>61860.861323841047</v>
      </c>
    </row>
    <row r="57" spans="1:11" x14ac:dyDescent="0.45">
      <c r="A57" s="1">
        <f t="shared" si="2"/>
        <v>90487.596406592027</v>
      </c>
      <c r="B57">
        <f t="shared" si="1"/>
        <v>7</v>
      </c>
      <c r="C57" s="2"/>
      <c r="K57">
        <v>70104.70024365306</v>
      </c>
    </row>
    <row r="58" spans="1:11" x14ac:dyDescent="0.45">
      <c r="A58" s="1">
        <f t="shared" si="2"/>
        <v>92087.632688560028</v>
      </c>
      <c r="B58">
        <f t="shared" si="1"/>
        <v>5</v>
      </c>
      <c r="C58" s="2"/>
      <c r="K58">
        <v>75699.347634346763</v>
      </c>
    </row>
    <row r="59" spans="1:11" x14ac:dyDescent="0.45">
      <c r="A59" s="1">
        <f t="shared" si="2"/>
        <v>93687.66897052803</v>
      </c>
      <c r="B59">
        <f t="shared" si="1"/>
        <v>4</v>
      </c>
      <c r="C59" s="2"/>
      <c r="K59">
        <v>56568.013919600737</v>
      </c>
    </row>
    <row r="60" spans="1:11" x14ac:dyDescent="0.45">
      <c r="A60" s="1">
        <f t="shared" si="2"/>
        <v>95287.705252496031</v>
      </c>
      <c r="B60">
        <f t="shared" si="1"/>
        <v>3</v>
      </c>
      <c r="C60" s="2"/>
      <c r="K60">
        <v>76254.353798779819</v>
      </c>
    </row>
    <row r="61" spans="1:11" x14ac:dyDescent="0.45">
      <c r="A61" s="1">
        <f t="shared" si="2"/>
        <v>96887.741534464032</v>
      </c>
      <c r="B61">
        <f t="shared" si="1"/>
        <v>3</v>
      </c>
      <c r="C61" s="2"/>
      <c r="K61">
        <v>93852.065161123013</v>
      </c>
    </row>
    <row r="62" spans="1:11" x14ac:dyDescent="0.45">
      <c r="A62" s="1">
        <f t="shared" si="2"/>
        <v>98487.777816432033</v>
      </c>
      <c r="B62">
        <f>COUNTIFS($K$1:$K$1000,"&gt;="&amp; A62,$K$1:$K$1000,"&lt;"&amp; A63)</f>
        <v>2</v>
      </c>
      <c r="C62" s="2"/>
      <c r="K62">
        <v>61001.544524757141</v>
      </c>
    </row>
    <row r="63" spans="1:11" x14ac:dyDescent="0.45">
      <c r="A63" s="1">
        <f t="shared" si="2"/>
        <v>100087.81409840003</v>
      </c>
      <c r="B63">
        <f>COUNTIFS($K$1:$K$1000,"&gt;="&amp; A63)</f>
        <v>1</v>
      </c>
      <c r="C63" s="2"/>
      <c r="K63">
        <v>68228.388359864417</v>
      </c>
    </row>
    <row r="64" spans="1:11" x14ac:dyDescent="0.45">
      <c r="B64">
        <f>SUM(B13:B63)</f>
        <v>1000</v>
      </c>
      <c r="C64" s="2"/>
      <c r="K64">
        <v>55002.343716465395</v>
      </c>
    </row>
    <row r="65" spans="3:11" x14ac:dyDescent="0.45">
      <c r="C65" s="2"/>
      <c r="K65">
        <v>67076.71109644651</v>
      </c>
    </row>
    <row r="66" spans="3:11" x14ac:dyDescent="0.45">
      <c r="C66" s="2"/>
      <c r="K66">
        <v>80319.534284660738</v>
      </c>
    </row>
    <row r="67" spans="3:11" x14ac:dyDescent="0.45">
      <c r="C67" s="2"/>
      <c r="K67">
        <v>42802.475256652673</v>
      </c>
    </row>
    <row r="68" spans="3:11" x14ac:dyDescent="0.45">
      <c r="C68" s="2"/>
      <c r="K68">
        <v>57023.966466587794</v>
      </c>
    </row>
    <row r="69" spans="3:11" x14ac:dyDescent="0.45">
      <c r="C69" s="2"/>
      <c r="K69">
        <v>75080.947598906467</v>
      </c>
    </row>
    <row r="70" spans="3:11" x14ac:dyDescent="0.45">
      <c r="C70" s="2"/>
      <c r="K70">
        <v>67203.307957564408</v>
      </c>
    </row>
    <row r="71" spans="3:11" x14ac:dyDescent="0.45">
      <c r="C71" s="2"/>
      <c r="K71">
        <v>65714.437321508594</v>
      </c>
    </row>
    <row r="72" spans="3:11" x14ac:dyDescent="0.45">
      <c r="C72" s="2"/>
      <c r="K72">
        <v>56232.274282763283</v>
      </c>
    </row>
    <row r="73" spans="3:11" x14ac:dyDescent="0.45">
      <c r="C73" s="2"/>
      <c r="K73">
        <v>68042.552688982367</v>
      </c>
    </row>
    <row r="74" spans="3:11" x14ac:dyDescent="0.45">
      <c r="C74" s="2"/>
      <c r="K74">
        <v>80231.428560059867</v>
      </c>
    </row>
    <row r="75" spans="3:11" x14ac:dyDescent="0.45">
      <c r="C75" s="2"/>
      <c r="K75">
        <v>73971.161265919771</v>
      </c>
    </row>
    <row r="76" spans="3:11" x14ac:dyDescent="0.45">
      <c r="C76" s="2"/>
      <c r="K76">
        <v>89467.628424707422</v>
      </c>
    </row>
    <row r="77" spans="3:11" x14ac:dyDescent="0.45">
      <c r="C77" s="2"/>
      <c r="K77">
        <v>77266.248570715747</v>
      </c>
    </row>
    <row r="78" spans="3:11" x14ac:dyDescent="0.45">
      <c r="C78" s="2"/>
      <c r="K78">
        <v>59833.328177778807</v>
      </c>
    </row>
    <row r="79" spans="3:11" x14ac:dyDescent="0.45">
      <c r="C79" s="2"/>
      <c r="K79">
        <v>51137.002405231295</v>
      </c>
    </row>
    <row r="80" spans="3:11" x14ac:dyDescent="0.45">
      <c r="C80" s="2"/>
      <c r="K80">
        <v>54016.786105309468</v>
      </c>
    </row>
    <row r="81" spans="3:11" x14ac:dyDescent="0.45">
      <c r="C81" s="2"/>
      <c r="K81">
        <v>86624.802139872918</v>
      </c>
    </row>
    <row r="82" spans="3:11" x14ac:dyDescent="0.45">
      <c r="C82" s="2"/>
      <c r="K82">
        <v>68811.317679100481</v>
      </c>
    </row>
    <row r="83" spans="3:11" x14ac:dyDescent="0.45">
      <c r="C83" s="2"/>
      <c r="K83">
        <v>70879.775325513081</v>
      </c>
    </row>
    <row r="84" spans="3:11" x14ac:dyDescent="0.45">
      <c r="K84">
        <v>72707.821410149714</v>
      </c>
    </row>
    <row r="85" spans="3:11" x14ac:dyDescent="0.45">
      <c r="K85">
        <v>68367.371507724893</v>
      </c>
    </row>
    <row r="86" spans="3:11" x14ac:dyDescent="0.45">
      <c r="K86">
        <v>82420.198424617731</v>
      </c>
    </row>
    <row r="87" spans="3:11" x14ac:dyDescent="0.45">
      <c r="K87">
        <v>69339.379806592289</v>
      </c>
    </row>
    <row r="88" spans="3:11" x14ac:dyDescent="0.45">
      <c r="K88">
        <v>68525.521603337736</v>
      </c>
    </row>
    <row r="89" spans="3:11" x14ac:dyDescent="0.45">
      <c r="K89">
        <v>60811.262559549366</v>
      </c>
    </row>
    <row r="90" spans="3:11" x14ac:dyDescent="0.45">
      <c r="K90">
        <v>73214.647424985145</v>
      </c>
    </row>
    <row r="91" spans="3:11" x14ac:dyDescent="0.45">
      <c r="K91">
        <v>46935.100731646548</v>
      </c>
    </row>
    <row r="92" spans="3:11" x14ac:dyDescent="0.45">
      <c r="K92">
        <v>75232.822392915492</v>
      </c>
    </row>
    <row r="93" spans="3:11" x14ac:dyDescent="0.45">
      <c r="K93">
        <v>71346.507579421581</v>
      </c>
    </row>
    <row r="94" spans="3:11" x14ac:dyDescent="0.45">
      <c r="K94">
        <v>56017.832239583971</v>
      </c>
    </row>
    <row r="95" spans="3:11" x14ac:dyDescent="0.45">
      <c r="K95">
        <v>43701.238370098457</v>
      </c>
    </row>
    <row r="96" spans="3:11" x14ac:dyDescent="0.45">
      <c r="K96">
        <v>82544.516419320207</v>
      </c>
    </row>
    <row r="97" spans="11:11" x14ac:dyDescent="0.45">
      <c r="K97">
        <v>75102.643056286121</v>
      </c>
    </row>
    <row r="98" spans="11:11" x14ac:dyDescent="0.45">
      <c r="K98">
        <v>59245.388178027002</v>
      </c>
    </row>
    <row r="99" spans="11:11" x14ac:dyDescent="0.45">
      <c r="K99">
        <v>90943.564957755734</v>
      </c>
    </row>
    <row r="100" spans="11:11" x14ac:dyDescent="0.45">
      <c r="K100">
        <v>73021.163382654544</v>
      </c>
    </row>
    <row r="101" spans="11:11" x14ac:dyDescent="0.45">
      <c r="K101">
        <v>75781.081171935512</v>
      </c>
    </row>
    <row r="102" spans="11:11" x14ac:dyDescent="0.45">
      <c r="K102">
        <v>59689.692675290135</v>
      </c>
    </row>
    <row r="103" spans="11:11" x14ac:dyDescent="0.45">
      <c r="K103">
        <v>66386.72455683467</v>
      </c>
    </row>
    <row r="104" spans="11:11" x14ac:dyDescent="0.45">
      <c r="K104">
        <v>66144.411241227601</v>
      </c>
    </row>
    <row r="105" spans="11:11" x14ac:dyDescent="0.45">
      <c r="K105">
        <v>77892.455590155849</v>
      </c>
    </row>
    <row r="106" spans="11:11" x14ac:dyDescent="0.45">
      <c r="K106">
        <v>74991.069111166013</v>
      </c>
    </row>
    <row r="107" spans="11:11" x14ac:dyDescent="0.45">
      <c r="K107">
        <v>58537.536142995217</v>
      </c>
    </row>
    <row r="108" spans="11:11" x14ac:dyDescent="0.45">
      <c r="K108">
        <v>98613.228948534466</v>
      </c>
    </row>
    <row r="109" spans="11:11" x14ac:dyDescent="0.45">
      <c r="K109">
        <v>61596.564769904209</v>
      </c>
    </row>
    <row r="110" spans="11:11" x14ac:dyDescent="0.45">
      <c r="K110">
        <v>58899.799243862901</v>
      </c>
    </row>
    <row r="111" spans="11:11" x14ac:dyDescent="0.45">
      <c r="K111">
        <v>50454.993610883881</v>
      </c>
    </row>
    <row r="112" spans="11:11" x14ac:dyDescent="0.45">
      <c r="K112">
        <v>65256.244126481135</v>
      </c>
    </row>
    <row r="113" spans="2:11" x14ac:dyDescent="0.45">
      <c r="K113">
        <v>58871.060258990459</v>
      </c>
    </row>
    <row r="114" spans="2:11" x14ac:dyDescent="0.45">
      <c r="K114">
        <v>66906.460543369249</v>
      </c>
    </row>
    <row r="115" spans="2:11" x14ac:dyDescent="0.45">
      <c r="B115">
        <f>SUM(B13:B114)</f>
        <v>2000</v>
      </c>
      <c r="K115">
        <v>60273.662452153723</v>
      </c>
    </row>
    <row r="116" spans="2:11" x14ac:dyDescent="0.45">
      <c r="K116">
        <v>64159.454566500186</v>
      </c>
    </row>
    <row r="117" spans="2:11" x14ac:dyDescent="0.45">
      <c r="K117">
        <v>78980.312793641919</v>
      </c>
    </row>
    <row r="118" spans="2:11" x14ac:dyDescent="0.45">
      <c r="K118">
        <v>46693.029529369276</v>
      </c>
    </row>
    <row r="119" spans="2:11" x14ac:dyDescent="0.45">
      <c r="K119">
        <v>47309.879416938609</v>
      </c>
    </row>
    <row r="120" spans="2:11" x14ac:dyDescent="0.45">
      <c r="K120">
        <v>70941.449592889956</v>
      </c>
    </row>
    <row r="121" spans="2:11" x14ac:dyDescent="0.45">
      <c r="K121">
        <v>58369.951583188376</v>
      </c>
    </row>
    <row r="122" spans="2:11" x14ac:dyDescent="0.45">
      <c r="K122">
        <v>85389.573936885266</v>
      </c>
    </row>
    <row r="123" spans="2:11" x14ac:dyDescent="0.45">
      <c r="K123">
        <v>97305.895706070005</v>
      </c>
    </row>
    <row r="124" spans="2:11" x14ac:dyDescent="0.45">
      <c r="K124">
        <v>64480.208704457233</v>
      </c>
    </row>
    <row r="125" spans="2:11" x14ac:dyDescent="0.45">
      <c r="K125">
        <v>65992.00779130336</v>
      </c>
    </row>
    <row r="126" spans="2:11" x14ac:dyDescent="0.45">
      <c r="K126">
        <v>64609.556595897695</v>
      </c>
    </row>
    <row r="127" spans="2:11" x14ac:dyDescent="0.45">
      <c r="K127">
        <v>83508.433215076759</v>
      </c>
    </row>
    <row r="128" spans="2:11" x14ac:dyDescent="0.45">
      <c r="K128">
        <v>73083.64359762457</v>
      </c>
    </row>
    <row r="129" spans="11:11" x14ac:dyDescent="0.45">
      <c r="K129">
        <v>83138.974475720897</v>
      </c>
    </row>
    <row r="130" spans="11:11" x14ac:dyDescent="0.45">
      <c r="K130">
        <v>60248.951998275952</v>
      </c>
    </row>
    <row r="131" spans="11:11" x14ac:dyDescent="0.45">
      <c r="K131">
        <v>82295.273005878087</v>
      </c>
    </row>
    <row r="132" spans="11:11" x14ac:dyDescent="0.45">
      <c r="K132">
        <v>82384.966901727006</v>
      </c>
    </row>
    <row r="133" spans="11:11" x14ac:dyDescent="0.45">
      <c r="K133">
        <v>78814.210803020702</v>
      </c>
    </row>
    <row r="134" spans="11:11" x14ac:dyDescent="0.45">
      <c r="K134">
        <v>59886.323915117107</v>
      </c>
    </row>
    <row r="135" spans="11:11" x14ac:dyDescent="0.45">
      <c r="K135">
        <v>54849.740122382529</v>
      </c>
    </row>
    <row r="136" spans="11:11" x14ac:dyDescent="0.45">
      <c r="K136">
        <v>71583.9991413182</v>
      </c>
    </row>
    <row r="137" spans="11:11" x14ac:dyDescent="0.45">
      <c r="K137">
        <v>82919.374817298056</v>
      </c>
    </row>
    <row r="138" spans="11:11" x14ac:dyDescent="0.45">
      <c r="K138">
        <v>63044.159571230426</v>
      </c>
    </row>
    <row r="139" spans="11:11" x14ac:dyDescent="0.45">
      <c r="K139">
        <v>69353.42668532196</v>
      </c>
    </row>
    <row r="140" spans="11:11" x14ac:dyDescent="0.45">
      <c r="K140">
        <v>80116.104259898028</v>
      </c>
    </row>
    <row r="141" spans="11:11" x14ac:dyDescent="0.45">
      <c r="K141">
        <v>69906.346480727763</v>
      </c>
    </row>
    <row r="142" spans="11:11" x14ac:dyDescent="0.45">
      <c r="K142">
        <v>69418.475090338296</v>
      </c>
    </row>
    <row r="143" spans="11:11" x14ac:dyDescent="0.45">
      <c r="K143">
        <v>87897.106470724364</v>
      </c>
    </row>
    <row r="144" spans="11:11" x14ac:dyDescent="0.45">
      <c r="K144">
        <v>71289.438736347205</v>
      </c>
    </row>
    <row r="145" spans="11:11" x14ac:dyDescent="0.45">
      <c r="K145">
        <v>53800.982510013266</v>
      </c>
    </row>
    <row r="146" spans="11:11" x14ac:dyDescent="0.45">
      <c r="K146">
        <v>56138.150831182254</v>
      </c>
    </row>
    <row r="147" spans="11:11" x14ac:dyDescent="0.45">
      <c r="K147">
        <v>67044.056392847589</v>
      </c>
    </row>
    <row r="148" spans="11:11" x14ac:dyDescent="0.45">
      <c r="K148">
        <v>77595.085924462968</v>
      </c>
    </row>
    <row r="149" spans="11:11" x14ac:dyDescent="0.45">
      <c r="K149">
        <v>87520.167739089826</v>
      </c>
    </row>
    <row r="150" spans="11:11" x14ac:dyDescent="0.45">
      <c r="K150">
        <v>61618.362611806093</v>
      </c>
    </row>
    <row r="151" spans="11:11" x14ac:dyDescent="0.45">
      <c r="K151">
        <v>65765.158503183891</v>
      </c>
    </row>
    <row r="152" spans="11:11" x14ac:dyDescent="0.45">
      <c r="K152">
        <v>60467.801102755511</v>
      </c>
    </row>
    <row r="153" spans="11:11" x14ac:dyDescent="0.45">
      <c r="K153">
        <v>85240.426732810796</v>
      </c>
    </row>
    <row r="154" spans="11:11" x14ac:dyDescent="0.45">
      <c r="K154">
        <v>84021.754097156823</v>
      </c>
    </row>
    <row r="155" spans="11:11" x14ac:dyDescent="0.45">
      <c r="K155">
        <v>51357.922614573341</v>
      </c>
    </row>
    <row r="156" spans="11:11" x14ac:dyDescent="0.45">
      <c r="K156">
        <v>67577.546689999304</v>
      </c>
    </row>
    <row r="157" spans="11:11" x14ac:dyDescent="0.45">
      <c r="K157">
        <v>64380.789236082659</v>
      </c>
    </row>
    <row r="158" spans="11:11" x14ac:dyDescent="0.45">
      <c r="K158">
        <v>73579.807264121147</v>
      </c>
    </row>
    <row r="159" spans="11:11" x14ac:dyDescent="0.45">
      <c r="K159">
        <v>81816.329465670453</v>
      </c>
    </row>
    <row r="160" spans="11:11" x14ac:dyDescent="0.45">
      <c r="K160">
        <v>57798.741607548131</v>
      </c>
    </row>
    <row r="161" spans="11:11" x14ac:dyDescent="0.45">
      <c r="K161">
        <v>82361.47331621217</v>
      </c>
    </row>
    <row r="162" spans="11:11" x14ac:dyDescent="0.45">
      <c r="K162">
        <v>54024.762708007162</v>
      </c>
    </row>
    <row r="163" spans="11:11" x14ac:dyDescent="0.45">
      <c r="K163">
        <v>57593.397857117816</v>
      </c>
    </row>
    <row r="164" spans="11:11" x14ac:dyDescent="0.45">
      <c r="K164">
        <v>60862.611311348279</v>
      </c>
    </row>
    <row r="165" spans="11:11" x14ac:dyDescent="0.45">
      <c r="K165">
        <v>81756.984533926501</v>
      </c>
    </row>
    <row r="166" spans="11:11" x14ac:dyDescent="0.45">
      <c r="K166">
        <v>76266.32938029978</v>
      </c>
    </row>
    <row r="167" spans="11:11" x14ac:dyDescent="0.45">
      <c r="K167">
        <v>65142.679825056592</v>
      </c>
    </row>
    <row r="168" spans="11:11" x14ac:dyDescent="0.45">
      <c r="K168">
        <v>81158.5036444547</v>
      </c>
    </row>
    <row r="169" spans="11:11" x14ac:dyDescent="0.45">
      <c r="K169">
        <v>63281.797536469145</v>
      </c>
    </row>
    <row r="170" spans="11:11" x14ac:dyDescent="0.45">
      <c r="K170">
        <v>71026.473631330635</v>
      </c>
    </row>
    <row r="171" spans="11:11" x14ac:dyDescent="0.45">
      <c r="K171">
        <v>66068.53278550916</v>
      </c>
    </row>
    <row r="172" spans="11:11" x14ac:dyDescent="0.45">
      <c r="K172">
        <v>70900.682466209895</v>
      </c>
    </row>
    <row r="173" spans="11:11" x14ac:dyDescent="0.45">
      <c r="K173">
        <v>20086.533597630754</v>
      </c>
    </row>
    <row r="174" spans="11:11" x14ac:dyDescent="0.45">
      <c r="K174">
        <v>72697.993985677997</v>
      </c>
    </row>
    <row r="175" spans="11:11" x14ac:dyDescent="0.45">
      <c r="K175">
        <v>70554.464067097841</v>
      </c>
    </row>
    <row r="176" spans="11:11" x14ac:dyDescent="0.45">
      <c r="K176">
        <v>79086.380363515811</v>
      </c>
    </row>
    <row r="177" spans="11:11" x14ac:dyDescent="0.45">
      <c r="K177">
        <v>52305.731221343274</v>
      </c>
    </row>
    <row r="178" spans="11:11" x14ac:dyDescent="0.45">
      <c r="K178">
        <v>53759.605048295023</v>
      </c>
    </row>
    <row r="179" spans="11:11" x14ac:dyDescent="0.45">
      <c r="K179">
        <v>67012.357419051608</v>
      </c>
    </row>
    <row r="180" spans="11:11" x14ac:dyDescent="0.45">
      <c r="K180">
        <v>67829.397894671347</v>
      </c>
    </row>
    <row r="181" spans="11:11" x14ac:dyDescent="0.45">
      <c r="K181">
        <v>77680.793341641634</v>
      </c>
    </row>
    <row r="182" spans="11:11" x14ac:dyDescent="0.45">
      <c r="K182">
        <v>83926.096315532661</v>
      </c>
    </row>
    <row r="183" spans="11:11" x14ac:dyDescent="0.45">
      <c r="K183">
        <v>67080.773753674381</v>
      </c>
    </row>
    <row r="184" spans="11:11" x14ac:dyDescent="0.45">
      <c r="K184">
        <v>63008.338778408703</v>
      </c>
    </row>
    <row r="185" spans="11:11" x14ac:dyDescent="0.45">
      <c r="K185">
        <v>68727.863115169064</v>
      </c>
    </row>
    <row r="186" spans="11:11" x14ac:dyDescent="0.45">
      <c r="K186">
        <v>73109.412705952316</v>
      </c>
    </row>
    <row r="187" spans="11:11" x14ac:dyDescent="0.45">
      <c r="K187">
        <v>75888.552676810024</v>
      </c>
    </row>
    <row r="188" spans="11:11" x14ac:dyDescent="0.45">
      <c r="K188">
        <v>57419.179844534985</v>
      </c>
    </row>
    <row r="189" spans="11:11" x14ac:dyDescent="0.45">
      <c r="K189">
        <v>63730.71496990478</v>
      </c>
    </row>
    <row r="190" spans="11:11" x14ac:dyDescent="0.45">
      <c r="K190">
        <v>75110.844604800353</v>
      </c>
    </row>
    <row r="191" spans="11:11" x14ac:dyDescent="0.45">
      <c r="K191">
        <v>69636.137125451234</v>
      </c>
    </row>
    <row r="192" spans="11:11" x14ac:dyDescent="0.45">
      <c r="K192">
        <v>69963.387205238978</v>
      </c>
    </row>
    <row r="193" spans="11:11" x14ac:dyDescent="0.45">
      <c r="K193">
        <v>83695.989781432407</v>
      </c>
    </row>
    <row r="194" spans="11:11" x14ac:dyDescent="0.45">
      <c r="K194">
        <v>90612.187941046592</v>
      </c>
    </row>
    <row r="195" spans="11:11" x14ac:dyDescent="0.45">
      <c r="K195">
        <v>82447.481486069868</v>
      </c>
    </row>
    <row r="196" spans="11:11" x14ac:dyDescent="0.45">
      <c r="K196">
        <v>57295.36711862751</v>
      </c>
    </row>
    <row r="197" spans="11:11" x14ac:dyDescent="0.45">
      <c r="K197">
        <v>69319.546335709645</v>
      </c>
    </row>
    <row r="198" spans="11:11" x14ac:dyDescent="0.45">
      <c r="K198">
        <v>66048.957694117431</v>
      </c>
    </row>
    <row r="199" spans="11:11" x14ac:dyDescent="0.45">
      <c r="K199">
        <v>68049.804650372476</v>
      </c>
    </row>
    <row r="200" spans="11:11" x14ac:dyDescent="0.45">
      <c r="K200">
        <v>78144.630112378087</v>
      </c>
    </row>
    <row r="201" spans="11:11" x14ac:dyDescent="0.45">
      <c r="K201">
        <v>68483.864885331961</v>
      </c>
    </row>
    <row r="202" spans="11:11" x14ac:dyDescent="0.45">
      <c r="K202">
        <v>72249.500050546558</v>
      </c>
    </row>
    <row r="203" spans="11:11" x14ac:dyDescent="0.45">
      <c r="K203">
        <v>69665.208467234377</v>
      </c>
    </row>
    <row r="204" spans="11:11" x14ac:dyDescent="0.45">
      <c r="K204">
        <v>45459.065084289789</v>
      </c>
    </row>
    <row r="205" spans="11:11" x14ac:dyDescent="0.45">
      <c r="K205">
        <v>98096.600475914762</v>
      </c>
    </row>
    <row r="206" spans="11:11" x14ac:dyDescent="0.45">
      <c r="K206">
        <v>81733.156575840883</v>
      </c>
    </row>
    <row r="207" spans="11:11" x14ac:dyDescent="0.45">
      <c r="K207">
        <v>74030.279100687927</v>
      </c>
    </row>
    <row r="208" spans="11:11" x14ac:dyDescent="0.45">
      <c r="K208">
        <v>69756.201049277923</v>
      </c>
    </row>
    <row r="209" spans="11:11" x14ac:dyDescent="0.45">
      <c r="K209">
        <v>66827.372308632039</v>
      </c>
    </row>
    <row r="210" spans="11:11" x14ac:dyDescent="0.45">
      <c r="K210">
        <v>64310.366701068342</v>
      </c>
    </row>
    <row r="211" spans="11:11" x14ac:dyDescent="0.45">
      <c r="K211">
        <v>81726.601961400971</v>
      </c>
    </row>
    <row r="212" spans="11:11" x14ac:dyDescent="0.45">
      <c r="K212">
        <v>72403.433202204862</v>
      </c>
    </row>
    <row r="213" spans="11:11" x14ac:dyDescent="0.45">
      <c r="K213">
        <v>47419.33840550411</v>
      </c>
    </row>
    <row r="214" spans="11:11" x14ac:dyDescent="0.45">
      <c r="K214">
        <v>87221.858627407666</v>
      </c>
    </row>
    <row r="215" spans="11:11" x14ac:dyDescent="0.45">
      <c r="K215">
        <v>54854.043963910102</v>
      </c>
    </row>
    <row r="216" spans="11:11" x14ac:dyDescent="0.45">
      <c r="K216">
        <v>69553.304797040939</v>
      </c>
    </row>
    <row r="217" spans="11:11" x14ac:dyDescent="0.45">
      <c r="K217">
        <v>68746.535880899421</v>
      </c>
    </row>
    <row r="218" spans="11:11" x14ac:dyDescent="0.45">
      <c r="K218">
        <v>78139.880856201547</v>
      </c>
    </row>
    <row r="219" spans="11:11" x14ac:dyDescent="0.45">
      <c r="K219">
        <v>69484.52468826712</v>
      </c>
    </row>
    <row r="220" spans="11:11" x14ac:dyDescent="0.45">
      <c r="K220">
        <v>87289.963639773603</v>
      </c>
    </row>
    <row r="221" spans="11:11" x14ac:dyDescent="0.45">
      <c r="K221">
        <v>57598.307336343656</v>
      </c>
    </row>
    <row r="222" spans="11:11" x14ac:dyDescent="0.45">
      <c r="K222">
        <v>73260.690996939709</v>
      </c>
    </row>
    <row r="223" spans="11:11" x14ac:dyDescent="0.45">
      <c r="K223">
        <v>70303.586514980969</v>
      </c>
    </row>
    <row r="224" spans="11:11" x14ac:dyDescent="0.45">
      <c r="K224">
        <v>49974.87070241099</v>
      </c>
    </row>
    <row r="225" spans="11:11" x14ac:dyDescent="0.45">
      <c r="K225">
        <v>68932.383331099714</v>
      </c>
    </row>
    <row r="226" spans="11:11" x14ac:dyDescent="0.45">
      <c r="K226">
        <v>58198.928684636187</v>
      </c>
    </row>
    <row r="227" spans="11:11" x14ac:dyDescent="0.45">
      <c r="K227">
        <v>74891.193203632516</v>
      </c>
    </row>
    <row r="228" spans="11:11" x14ac:dyDescent="0.45">
      <c r="K228">
        <v>56977.839384566381</v>
      </c>
    </row>
    <row r="229" spans="11:11" x14ac:dyDescent="0.45">
      <c r="K229">
        <v>71365.35881222751</v>
      </c>
    </row>
    <row r="230" spans="11:11" x14ac:dyDescent="0.45">
      <c r="K230">
        <v>54085.018914743603</v>
      </c>
    </row>
    <row r="231" spans="11:11" x14ac:dyDescent="0.45">
      <c r="K231">
        <v>60967.296048212047</v>
      </c>
    </row>
    <row r="232" spans="11:11" x14ac:dyDescent="0.45">
      <c r="K232">
        <v>78280.301771451632</v>
      </c>
    </row>
    <row r="233" spans="11:11" x14ac:dyDescent="0.45">
      <c r="K233">
        <v>63284.896470501</v>
      </c>
    </row>
    <row r="234" spans="11:11" x14ac:dyDescent="0.45">
      <c r="K234">
        <v>81155.602416198526</v>
      </c>
    </row>
    <row r="235" spans="11:11" x14ac:dyDescent="0.45">
      <c r="K235">
        <v>55650.353192570925</v>
      </c>
    </row>
    <row r="236" spans="11:11" x14ac:dyDescent="0.45">
      <c r="K236">
        <v>75572.35852823063</v>
      </c>
    </row>
    <row r="237" spans="11:11" x14ac:dyDescent="0.45">
      <c r="K237">
        <v>77126.470714564522</v>
      </c>
    </row>
    <row r="238" spans="11:11" x14ac:dyDescent="0.45">
      <c r="K238">
        <v>68076.904577800262</v>
      </c>
    </row>
    <row r="239" spans="11:11" x14ac:dyDescent="0.45">
      <c r="K239">
        <v>61524.390847670009</v>
      </c>
    </row>
    <row r="240" spans="11:11" x14ac:dyDescent="0.45">
      <c r="K240">
        <v>69583.616990153765</v>
      </c>
    </row>
    <row r="241" spans="11:11" x14ac:dyDescent="0.45">
      <c r="K241">
        <v>87146.141207567154</v>
      </c>
    </row>
    <row r="242" spans="11:11" x14ac:dyDescent="0.45">
      <c r="K242">
        <v>71932.424491615486</v>
      </c>
    </row>
    <row r="243" spans="11:11" x14ac:dyDescent="0.45">
      <c r="K243">
        <v>68406.402178598466</v>
      </c>
    </row>
    <row r="244" spans="11:11" x14ac:dyDescent="0.45">
      <c r="K244">
        <v>84188.988447126525</v>
      </c>
    </row>
    <row r="245" spans="11:11" x14ac:dyDescent="0.45">
      <c r="K245">
        <v>56894.078928186907</v>
      </c>
    </row>
    <row r="246" spans="11:11" x14ac:dyDescent="0.45">
      <c r="K246">
        <v>68592.436779241136</v>
      </c>
    </row>
    <row r="247" spans="11:11" x14ac:dyDescent="0.45">
      <c r="K247">
        <v>60426.173423485758</v>
      </c>
    </row>
    <row r="248" spans="11:11" x14ac:dyDescent="0.45">
      <c r="K248">
        <v>52493.244450600221</v>
      </c>
    </row>
    <row r="249" spans="11:11" x14ac:dyDescent="0.45">
      <c r="K249">
        <v>68375.838644767777</v>
      </c>
    </row>
    <row r="250" spans="11:11" x14ac:dyDescent="0.45">
      <c r="K250">
        <v>65210.52681629952</v>
      </c>
    </row>
    <row r="251" spans="11:11" x14ac:dyDescent="0.45">
      <c r="K251">
        <v>74161.567042351657</v>
      </c>
    </row>
    <row r="252" spans="11:11" x14ac:dyDescent="0.45">
      <c r="K252">
        <v>78970.776969990082</v>
      </c>
    </row>
    <row r="253" spans="11:11" x14ac:dyDescent="0.45">
      <c r="K253">
        <v>65528.164798902522</v>
      </c>
    </row>
    <row r="254" spans="11:11" x14ac:dyDescent="0.45">
      <c r="K254">
        <v>78156.532058510144</v>
      </c>
    </row>
    <row r="255" spans="11:11" x14ac:dyDescent="0.45">
      <c r="K255">
        <v>59869.630499308238</v>
      </c>
    </row>
    <row r="256" spans="11:11" x14ac:dyDescent="0.45">
      <c r="K256">
        <v>59644.480089269811</v>
      </c>
    </row>
    <row r="257" spans="11:11" x14ac:dyDescent="0.45">
      <c r="K257">
        <v>67730.282063586114</v>
      </c>
    </row>
    <row r="258" spans="11:11" x14ac:dyDescent="0.45">
      <c r="K258">
        <v>57326.85006858164</v>
      </c>
    </row>
    <row r="259" spans="11:11" x14ac:dyDescent="0.45">
      <c r="K259">
        <v>70247.080170293993</v>
      </c>
    </row>
    <row r="260" spans="11:11" x14ac:dyDescent="0.45">
      <c r="K260">
        <v>81580.789779026527</v>
      </c>
    </row>
    <row r="261" spans="11:11" x14ac:dyDescent="0.45">
      <c r="K261">
        <v>71049.748475207802</v>
      </c>
    </row>
    <row r="262" spans="11:11" x14ac:dyDescent="0.45">
      <c r="K262">
        <v>74351.750701462835</v>
      </c>
    </row>
    <row r="263" spans="11:11" x14ac:dyDescent="0.45">
      <c r="K263">
        <v>52773.363461372006</v>
      </c>
    </row>
    <row r="264" spans="11:11" x14ac:dyDescent="0.45">
      <c r="K264">
        <v>70868.364400662875</v>
      </c>
    </row>
    <row r="265" spans="11:11" x14ac:dyDescent="0.45">
      <c r="K265">
        <v>71115.266980713495</v>
      </c>
    </row>
    <row r="266" spans="11:11" x14ac:dyDescent="0.45">
      <c r="K266">
        <v>56045.800026326317</v>
      </c>
    </row>
    <row r="267" spans="11:11" x14ac:dyDescent="0.45">
      <c r="K267">
        <v>65951.825691616308</v>
      </c>
    </row>
    <row r="268" spans="11:11" x14ac:dyDescent="0.45">
      <c r="K268">
        <v>84432.78241029082</v>
      </c>
    </row>
    <row r="269" spans="11:11" x14ac:dyDescent="0.45">
      <c r="K269">
        <v>57244.561786683196</v>
      </c>
    </row>
    <row r="270" spans="11:11" x14ac:dyDescent="0.45">
      <c r="K270">
        <v>66415.394056868899</v>
      </c>
    </row>
    <row r="271" spans="11:11" x14ac:dyDescent="0.45">
      <c r="K271">
        <v>76796.325499318991</v>
      </c>
    </row>
    <row r="272" spans="11:11" x14ac:dyDescent="0.45">
      <c r="K272">
        <v>83052.661576238461</v>
      </c>
    </row>
    <row r="273" spans="11:11" x14ac:dyDescent="0.45">
      <c r="K273">
        <v>65125.091577897671</v>
      </c>
    </row>
    <row r="274" spans="11:11" x14ac:dyDescent="0.45">
      <c r="K274">
        <v>68988.653770871708</v>
      </c>
    </row>
    <row r="275" spans="11:11" x14ac:dyDescent="0.45">
      <c r="K275">
        <v>85869.5342689065</v>
      </c>
    </row>
    <row r="276" spans="11:11" x14ac:dyDescent="0.45">
      <c r="K276">
        <v>69076.606794671141</v>
      </c>
    </row>
    <row r="277" spans="11:11" x14ac:dyDescent="0.45">
      <c r="K277">
        <v>49824.189373435016</v>
      </c>
    </row>
    <row r="278" spans="11:11" x14ac:dyDescent="0.45">
      <c r="K278">
        <v>77889.373593359109</v>
      </c>
    </row>
    <row r="279" spans="11:11" x14ac:dyDescent="0.45">
      <c r="K279">
        <v>67173.167206788014</v>
      </c>
    </row>
    <row r="280" spans="11:11" x14ac:dyDescent="0.45">
      <c r="K280">
        <v>56700.073664738185</v>
      </c>
    </row>
    <row r="281" spans="11:11" x14ac:dyDescent="0.45">
      <c r="K281">
        <v>51859.393105026349</v>
      </c>
    </row>
    <row r="282" spans="11:11" x14ac:dyDescent="0.45">
      <c r="K282">
        <v>45527.919989195922</v>
      </c>
    </row>
    <row r="283" spans="11:11" x14ac:dyDescent="0.45">
      <c r="K283">
        <v>70947.475394798646</v>
      </c>
    </row>
    <row r="284" spans="11:11" x14ac:dyDescent="0.45">
      <c r="K284">
        <v>54681.387980587417</v>
      </c>
    </row>
    <row r="285" spans="11:11" x14ac:dyDescent="0.45">
      <c r="K285">
        <v>74408.512282058131</v>
      </c>
    </row>
    <row r="286" spans="11:11" x14ac:dyDescent="0.45">
      <c r="K286">
        <v>51985.094964147982</v>
      </c>
    </row>
    <row r="287" spans="11:11" x14ac:dyDescent="0.45">
      <c r="K287">
        <v>60726.126083903204</v>
      </c>
    </row>
    <row r="288" spans="11:11" x14ac:dyDescent="0.45">
      <c r="K288">
        <v>83885.409781756229</v>
      </c>
    </row>
    <row r="289" spans="11:11" x14ac:dyDescent="0.45">
      <c r="K289">
        <v>50998.962622622646</v>
      </c>
    </row>
    <row r="290" spans="11:11" x14ac:dyDescent="0.45">
      <c r="K290">
        <v>84382.330241863659</v>
      </c>
    </row>
    <row r="291" spans="11:11" x14ac:dyDescent="0.45">
      <c r="K291">
        <v>63978.67854955481</v>
      </c>
    </row>
    <row r="292" spans="11:11" x14ac:dyDescent="0.45">
      <c r="K292">
        <v>63935.784852063407</v>
      </c>
    </row>
    <row r="293" spans="11:11" x14ac:dyDescent="0.45">
      <c r="K293">
        <v>56572.758069847805</v>
      </c>
    </row>
    <row r="294" spans="11:11" x14ac:dyDescent="0.45">
      <c r="K294">
        <v>76444.881850691861</v>
      </c>
    </row>
    <row r="295" spans="11:11" x14ac:dyDescent="0.45">
      <c r="K295">
        <v>73241.222648835115</v>
      </c>
    </row>
    <row r="296" spans="11:11" x14ac:dyDescent="0.45">
      <c r="K296">
        <v>63034.522120059373</v>
      </c>
    </row>
    <row r="297" spans="11:11" x14ac:dyDescent="0.45">
      <c r="K297">
        <v>65595.031786083404</v>
      </c>
    </row>
    <row r="298" spans="11:11" x14ac:dyDescent="0.45">
      <c r="K298">
        <v>67740.523862469054</v>
      </c>
    </row>
    <row r="299" spans="11:11" x14ac:dyDescent="0.45">
      <c r="K299">
        <v>51503.006658309372</v>
      </c>
    </row>
    <row r="300" spans="11:11" x14ac:dyDescent="0.45">
      <c r="K300">
        <v>64832.432560951769</v>
      </c>
    </row>
    <row r="301" spans="11:11" x14ac:dyDescent="0.45">
      <c r="K301">
        <v>70150.34055261717</v>
      </c>
    </row>
    <row r="302" spans="11:11" x14ac:dyDescent="0.45">
      <c r="K302">
        <v>72499.671681269581</v>
      </c>
    </row>
    <row r="303" spans="11:11" x14ac:dyDescent="0.45">
      <c r="K303">
        <v>47558.375091796413</v>
      </c>
    </row>
    <row r="304" spans="11:11" x14ac:dyDescent="0.45">
      <c r="K304">
        <v>49259.669832783264</v>
      </c>
    </row>
    <row r="305" spans="11:11" x14ac:dyDescent="0.45">
      <c r="K305">
        <v>91953.710209140176</v>
      </c>
    </row>
    <row r="306" spans="11:11" x14ac:dyDescent="0.45">
      <c r="K306">
        <v>58782.10313665001</v>
      </c>
    </row>
    <row r="307" spans="11:11" x14ac:dyDescent="0.45">
      <c r="K307">
        <v>69918.281637952648</v>
      </c>
    </row>
    <row r="308" spans="11:11" x14ac:dyDescent="0.45">
      <c r="K308">
        <v>65150.677734960926</v>
      </c>
    </row>
    <row r="309" spans="11:11" x14ac:dyDescent="0.45">
      <c r="K309">
        <v>78476.006468534761</v>
      </c>
    </row>
    <row r="310" spans="11:11" x14ac:dyDescent="0.45">
      <c r="K310">
        <v>57273.0262947761</v>
      </c>
    </row>
    <row r="311" spans="11:11" x14ac:dyDescent="0.45">
      <c r="K311">
        <v>65789.348913130438</v>
      </c>
    </row>
    <row r="312" spans="11:11" x14ac:dyDescent="0.45">
      <c r="K312">
        <v>68453.028651307483</v>
      </c>
    </row>
    <row r="313" spans="11:11" x14ac:dyDescent="0.45">
      <c r="K313">
        <v>67627.189314450312</v>
      </c>
    </row>
    <row r="314" spans="11:11" x14ac:dyDescent="0.45">
      <c r="K314">
        <v>67035.879909865806</v>
      </c>
    </row>
    <row r="315" spans="11:11" x14ac:dyDescent="0.45">
      <c r="K315">
        <v>77998.867419492744</v>
      </c>
    </row>
    <row r="316" spans="11:11" x14ac:dyDescent="0.45">
      <c r="K316">
        <v>51702.829059062075</v>
      </c>
    </row>
    <row r="317" spans="11:11" x14ac:dyDescent="0.45">
      <c r="K317">
        <v>84370.082030850434</v>
      </c>
    </row>
    <row r="318" spans="11:11" x14ac:dyDescent="0.45">
      <c r="K318">
        <v>72033.506236376925</v>
      </c>
    </row>
    <row r="319" spans="11:11" x14ac:dyDescent="0.45">
      <c r="K319">
        <v>58968.009541739746</v>
      </c>
    </row>
    <row r="320" spans="11:11" x14ac:dyDescent="0.45">
      <c r="K320">
        <v>74692.268118247142</v>
      </c>
    </row>
    <row r="321" spans="11:11" x14ac:dyDescent="0.45">
      <c r="K321">
        <v>73703.730558100666</v>
      </c>
    </row>
    <row r="322" spans="11:11" x14ac:dyDescent="0.45">
      <c r="K322">
        <v>57532.322362145525</v>
      </c>
    </row>
    <row r="323" spans="11:11" x14ac:dyDescent="0.45">
      <c r="K323">
        <v>73436.848856608209</v>
      </c>
    </row>
    <row r="324" spans="11:11" x14ac:dyDescent="0.45">
      <c r="K324">
        <v>64128.601898863904</v>
      </c>
    </row>
    <row r="325" spans="11:11" x14ac:dyDescent="0.45">
      <c r="K325">
        <v>64193.346692404804</v>
      </c>
    </row>
    <row r="326" spans="11:11" x14ac:dyDescent="0.45">
      <c r="K326">
        <v>72915.761017545708</v>
      </c>
    </row>
    <row r="327" spans="11:11" x14ac:dyDescent="0.45">
      <c r="K327">
        <v>65668.315142966108</v>
      </c>
    </row>
    <row r="328" spans="11:11" x14ac:dyDescent="0.45">
      <c r="K328">
        <v>69992.225153264037</v>
      </c>
    </row>
    <row r="329" spans="11:11" x14ac:dyDescent="0.45">
      <c r="K329">
        <v>78065.581467485463</v>
      </c>
    </row>
    <row r="330" spans="11:11" x14ac:dyDescent="0.45">
      <c r="K330">
        <v>54714.523954984943</v>
      </c>
    </row>
    <row r="331" spans="11:11" x14ac:dyDescent="0.45">
      <c r="K331">
        <v>68674.312931175096</v>
      </c>
    </row>
    <row r="332" spans="11:11" x14ac:dyDescent="0.45">
      <c r="K332">
        <v>66682.330536839421</v>
      </c>
    </row>
    <row r="333" spans="11:11" x14ac:dyDescent="0.45">
      <c r="K333">
        <v>71609.938131323055</v>
      </c>
    </row>
    <row r="334" spans="11:11" x14ac:dyDescent="0.45">
      <c r="K334">
        <v>88022.026694367174</v>
      </c>
    </row>
    <row r="335" spans="11:11" x14ac:dyDescent="0.45">
      <c r="K335">
        <v>57489.110457367547</v>
      </c>
    </row>
    <row r="336" spans="11:11" x14ac:dyDescent="0.45">
      <c r="K336">
        <v>57192.276841825958</v>
      </c>
    </row>
    <row r="337" spans="11:11" x14ac:dyDescent="0.45">
      <c r="K337">
        <v>73525.503076407185</v>
      </c>
    </row>
    <row r="338" spans="11:11" x14ac:dyDescent="0.45">
      <c r="K338">
        <v>60995.838548544809</v>
      </c>
    </row>
    <row r="339" spans="11:11" x14ac:dyDescent="0.45">
      <c r="K339">
        <v>67061.103761838938</v>
      </c>
    </row>
    <row r="340" spans="11:11" x14ac:dyDescent="0.45">
      <c r="K340">
        <v>68595.007422060822</v>
      </c>
    </row>
    <row r="341" spans="11:11" x14ac:dyDescent="0.45">
      <c r="K341">
        <v>88146.924331198359</v>
      </c>
    </row>
    <row r="342" spans="11:11" x14ac:dyDescent="0.45">
      <c r="K342">
        <v>55314.718805260251</v>
      </c>
    </row>
    <row r="343" spans="11:11" x14ac:dyDescent="0.45">
      <c r="K343">
        <v>66994.035823070459</v>
      </c>
    </row>
    <row r="344" spans="11:11" x14ac:dyDescent="0.45">
      <c r="K344">
        <v>67276.686715770906</v>
      </c>
    </row>
    <row r="345" spans="11:11" x14ac:dyDescent="0.45">
      <c r="K345">
        <v>51852.08813206201</v>
      </c>
    </row>
    <row r="346" spans="11:11" x14ac:dyDescent="0.45">
      <c r="K346">
        <v>87791.449267580727</v>
      </c>
    </row>
    <row r="347" spans="11:11" x14ac:dyDescent="0.45">
      <c r="K347">
        <v>49639.659842762179</v>
      </c>
    </row>
    <row r="348" spans="11:11" x14ac:dyDescent="0.45">
      <c r="K348">
        <v>70360.121421221687</v>
      </c>
    </row>
    <row r="349" spans="11:11" x14ac:dyDescent="0.45">
      <c r="K349">
        <v>38987.705777299969</v>
      </c>
    </row>
    <row r="350" spans="11:11" x14ac:dyDescent="0.45">
      <c r="K350">
        <v>86059.397637003916</v>
      </c>
    </row>
    <row r="351" spans="11:11" x14ac:dyDescent="0.45">
      <c r="K351">
        <v>74208.531261239375</v>
      </c>
    </row>
    <row r="352" spans="11:11" x14ac:dyDescent="0.45">
      <c r="K352">
        <v>89803.53363322957</v>
      </c>
    </row>
    <row r="353" spans="11:11" x14ac:dyDescent="0.45">
      <c r="K353">
        <v>52515.348780555039</v>
      </c>
    </row>
    <row r="354" spans="11:11" x14ac:dyDescent="0.45">
      <c r="K354">
        <v>78925.574433966452</v>
      </c>
    </row>
    <row r="355" spans="11:11" x14ac:dyDescent="0.45">
      <c r="K355">
        <v>83404.609258934855</v>
      </c>
    </row>
    <row r="356" spans="11:11" x14ac:dyDescent="0.45">
      <c r="K356">
        <v>70435.563370948075</v>
      </c>
    </row>
    <row r="357" spans="11:11" x14ac:dyDescent="0.45">
      <c r="K357">
        <v>77937.531776114542</v>
      </c>
    </row>
    <row r="358" spans="11:11" x14ac:dyDescent="0.45">
      <c r="K358">
        <v>59992.295638252355</v>
      </c>
    </row>
    <row r="359" spans="11:11" x14ac:dyDescent="0.45">
      <c r="K359">
        <v>71592.121498522887</v>
      </c>
    </row>
    <row r="360" spans="11:11" x14ac:dyDescent="0.45">
      <c r="K360">
        <v>68309.61665184646</v>
      </c>
    </row>
    <row r="361" spans="11:11" x14ac:dyDescent="0.45">
      <c r="K361">
        <v>63915.410666727374</v>
      </c>
    </row>
    <row r="362" spans="11:11" x14ac:dyDescent="0.45">
      <c r="K362">
        <v>62365.818869245966</v>
      </c>
    </row>
    <row r="363" spans="11:11" x14ac:dyDescent="0.45">
      <c r="K363">
        <v>58136.261965436097</v>
      </c>
    </row>
    <row r="364" spans="11:11" x14ac:dyDescent="0.45">
      <c r="K364">
        <v>76764.22664965404</v>
      </c>
    </row>
    <row r="365" spans="11:11" x14ac:dyDescent="0.45">
      <c r="K365">
        <v>82018.747343316471</v>
      </c>
    </row>
    <row r="366" spans="11:11" x14ac:dyDescent="0.45">
      <c r="K366">
        <v>72990.866977483034</v>
      </c>
    </row>
    <row r="367" spans="11:11" x14ac:dyDescent="0.45">
      <c r="K367">
        <v>69293.740842155908</v>
      </c>
    </row>
    <row r="368" spans="11:11" x14ac:dyDescent="0.45">
      <c r="K368">
        <v>53172.358819192101</v>
      </c>
    </row>
    <row r="369" spans="11:11" x14ac:dyDescent="0.45">
      <c r="K369">
        <v>75242.374553178553</v>
      </c>
    </row>
    <row r="370" spans="11:11" x14ac:dyDescent="0.45">
      <c r="K370">
        <v>58818.306467123999</v>
      </c>
    </row>
    <row r="371" spans="11:11" x14ac:dyDescent="0.45">
      <c r="K371">
        <v>64198.611138741107</v>
      </c>
    </row>
    <row r="372" spans="11:11" x14ac:dyDescent="0.45">
      <c r="K372">
        <v>68792.469814426746</v>
      </c>
    </row>
    <row r="373" spans="11:11" x14ac:dyDescent="0.45">
      <c r="K373">
        <v>85919.494328741013</v>
      </c>
    </row>
    <row r="374" spans="11:11" x14ac:dyDescent="0.45">
      <c r="K374">
        <v>65460.480278585412</v>
      </c>
    </row>
    <row r="375" spans="11:11" x14ac:dyDescent="0.45">
      <c r="K375">
        <v>81159.680725582424</v>
      </c>
    </row>
    <row r="376" spans="11:11" x14ac:dyDescent="0.45">
      <c r="K376">
        <v>71142.028149566046</v>
      </c>
    </row>
    <row r="377" spans="11:11" x14ac:dyDescent="0.45">
      <c r="K377">
        <v>53335.997039346446</v>
      </c>
    </row>
    <row r="378" spans="11:11" x14ac:dyDescent="0.45">
      <c r="K378">
        <v>55601.532322747349</v>
      </c>
    </row>
    <row r="379" spans="11:11" x14ac:dyDescent="0.45">
      <c r="K379">
        <v>64877.021262965965</v>
      </c>
    </row>
    <row r="380" spans="11:11" x14ac:dyDescent="0.45">
      <c r="K380">
        <v>60229.817966287999</v>
      </c>
    </row>
    <row r="381" spans="11:11" x14ac:dyDescent="0.45">
      <c r="K381">
        <v>70208.565571929881</v>
      </c>
    </row>
    <row r="382" spans="11:11" x14ac:dyDescent="0.45">
      <c r="K382">
        <v>85221.41485916196</v>
      </c>
    </row>
    <row r="383" spans="11:11" x14ac:dyDescent="0.45">
      <c r="K383">
        <v>70557.57897124892</v>
      </c>
    </row>
    <row r="384" spans="11:11" x14ac:dyDescent="0.45">
      <c r="K384">
        <v>63841.080954954559</v>
      </c>
    </row>
    <row r="385" spans="11:11" x14ac:dyDescent="0.45">
      <c r="K385">
        <v>70535.583328943554</v>
      </c>
    </row>
    <row r="386" spans="11:11" x14ac:dyDescent="0.45">
      <c r="K386">
        <v>79722.729982783683</v>
      </c>
    </row>
    <row r="387" spans="11:11" x14ac:dyDescent="0.45">
      <c r="K387">
        <v>56664.182581943664</v>
      </c>
    </row>
    <row r="388" spans="11:11" x14ac:dyDescent="0.45">
      <c r="K388">
        <v>57980.813097787119</v>
      </c>
    </row>
    <row r="389" spans="11:11" x14ac:dyDescent="0.45">
      <c r="K389">
        <v>42262.587241745641</v>
      </c>
    </row>
    <row r="390" spans="11:11" x14ac:dyDescent="0.45">
      <c r="K390">
        <v>69924.479752237326</v>
      </c>
    </row>
    <row r="391" spans="11:11" x14ac:dyDescent="0.45">
      <c r="K391">
        <v>70618.378690253739</v>
      </c>
    </row>
    <row r="392" spans="11:11" x14ac:dyDescent="0.45">
      <c r="K392">
        <v>55395.29988993131</v>
      </c>
    </row>
    <row r="393" spans="11:11" x14ac:dyDescent="0.45">
      <c r="K393">
        <v>67418.113334036549</v>
      </c>
    </row>
    <row r="394" spans="11:11" x14ac:dyDescent="0.45">
      <c r="K394">
        <v>83640.84391293762</v>
      </c>
    </row>
    <row r="395" spans="11:11" x14ac:dyDescent="0.45">
      <c r="K395">
        <v>44020.539224307373</v>
      </c>
    </row>
    <row r="396" spans="11:11" x14ac:dyDescent="0.45">
      <c r="K396">
        <v>46501.381839342561</v>
      </c>
    </row>
    <row r="397" spans="11:11" x14ac:dyDescent="0.45">
      <c r="K397">
        <v>89360.276678333088</v>
      </c>
    </row>
    <row r="398" spans="11:11" x14ac:dyDescent="0.45">
      <c r="K398">
        <v>64154.873851917378</v>
      </c>
    </row>
    <row r="399" spans="11:11" x14ac:dyDescent="0.45">
      <c r="K399">
        <v>57291.581579991122</v>
      </c>
    </row>
    <row r="400" spans="11:11" x14ac:dyDescent="0.45">
      <c r="K400">
        <v>77717.165446394123</v>
      </c>
    </row>
    <row r="401" spans="11:11" x14ac:dyDescent="0.45">
      <c r="K401">
        <v>68607.587562092827</v>
      </c>
    </row>
    <row r="402" spans="11:11" x14ac:dyDescent="0.45">
      <c r="K402">
        <v>74168.251279891949</v>
      </c>
    </row>
    <row r="403" spans="11:11" x14ac:dyDescent="0.45">
      <c r="K403">
        <v>83310.789649725644</v>
      </c>
    </row>
    <row r="404" spans="11:11" x14ac:dyDescent="0.45">
      <c r="K404">
        <v>61061.160546292136</v>
      </c>
    </row>
    <row r="405" spans="11:11" x14ac:dyDescent="0.45">
      <c r="K405">
        <v>60733.662278499694</v>
      </c>
    </row>
    <row r="406" spans="11:11" x14ac:dyDescent="0.45">
      <c r="K406">
        <v>64285.57099311256</v>
      </c>
    </row>
    <row r="407" spans="11:11" x14ac:dyDescent="0.45">
      <c r="K407">
        <v>67330.793649370695</v>
      </c>
    </row>
    <row r="408" spans="11:11" x14ac:dyDescent="0.45">
      <c r="K408">
        <v>58132.493783720733</v>
      </c>
    </row>
    <row r="409" spans="11:11" x14ac:dyDescent="0.45">
      <c r="K409">
        <v>76223.348230849864</v>
      </c>
    </row>
    <row r="410" spans="11:11" x14ac:dyDescent="0.45">
      <c r="K410">
        <v>62078.293360612188</v>
      </c>
    </row>
    <row r="411" spans="11:11" x14ac:dyDescent="0.45">
      <c r="K411">
        <v>56153.533872091415</v>
      </c>
    </row>
    <row r="412" spans="11:11" x14ac:dyDescent="0.45">
      <c r="K412">
        <v>49334.525485822596</v>
      </c>
    </row>
    <row r="413" spans="11:11" x14ac:dyDescent="0.45">
      <c r="K413">
        <v>80567.621753857267</v>
      </c>
    </row>
    <row r="414" spans="11:11" x14ac:dyDescent="0.45">
      <c r="K414">
        <v>50963.149234166936</v>
      </c>
    </row>
    <row r="415" spans="11:11" x14ac:dyDescent="0.45">
      <c r="K415">
        <v>80389.789053175657</v>
      </c>
    </row>
    <row r="416" spans="11:11" x14ac:dyDescent="0.45">
      <c r="K416">
        <v>81681.071668909834</v>
      </c>
    </row>
    <row r="417" spans="11:11" x14ac:dyDescent="0.45">
      <c r="K417">
        <v>86449.500542336129</v>
      </c>
    </row>
    <row r="418" spans="11:11" x14ac:dyDescent="0.45">
      <c r="K418">
        <v>97358.377885704278</v>
      </c>
    </row>
    <row r="419" spans="11:11" x14ac:dyDescent="0.45">
      <c r="K419">
        <v>87922.059563823248</v>
      </c>
    </row>
    <row r="420" spans="11:11" x14ac:dyDescent="0.45">
      <c r="K420">
        <v>89632.191525000904</v>
      </c>
    </row>
    <row r="421" spans="11:11" x14ac:dyDescent="0.45">
      <c r="K421">
        <v>84759.027638403539</v>
      </c>
    </row>
    <row r="422" spans="11:11" x14ac:dyDescent="0.45">
      <c r="K422">
        <v>76046.12909523047</v>
      </c>
    </row>
    <row r="423" spans="11:11" x14ac:dyDescent="0.45">
      <c r="K423">
        <v>75573.929259909521</v>
      </c>
    </row>
    <row r="424" spans="11:11" x14ac:dyDescent="0.45">
      <c r="K424">
        <v>91688.315646629053</v>
      </c>
    </row>
    <row r="425" spans="11:11" x14ac:dyDescent="0.45">
      <c r="K425">
        <v>59795.765614982585</v>
      </c>
    </row>
    <row r="426" spans="11:11" x14ac:dyDescent="0.45">
      <c r="K426">
        <v>73675.323617930393</v>
      </c>
    </row>
    <row r="427" spans="11:11" x14ac:dyDescent="0.45">
      <c r="K427">
        <v>63227.459165653469</v>
      </c>
    </row>
    <row r="428" spans="11:11" x14ac:dyDescent="0.45">
      <c r="K428">
        <v>79947.167860254878</v>
      </c>
    </row>
    <row r="429" spans="11:11" x14ac:dyDescent="0.45">
      <c r="K429">
        <v>62679.656853476481</v>
      </c>
    </row>
    <row r="430" spans="11:11" x14ac:dyDescent="0.45">
      <c r="K430">
        <v>78160.90007466868</v>
      </c>
    </row>
    <row r="431" spans="11:11" x14ac:dyDescent="0.45">
      <c r="K431">
        <v>82024.407669347522</v>
      </c>
    </row>
    <row r="432" spans="11:11" x14ac:dyDescent="0.45">
      <c r="K432">
        <v>60380.455359887652</v>
      </c>
    </row>
    <row r="433" spans="11:11" x14ac:dyDescent="0.45">
      <c r="K433">
        <v>91286.343639096332</v>
      </c>
    </row>
    <row r="434" spans="11:11" x14ac:dyDescent="0.45">
      <c r="K434">
        <v>69652.912791583745</v>
      </c>
    </row>
    <row r="435" spans="11:11" x14ac:dyDescent="0.45">
      <c r="K435">
        <v>67581.372599007955</v>
      </c>
    </row>
    <row r="436" spans="11:11" x14ac:dyDescent="0.45">
      <c r="K436">
        <v>71801.507455945815</v>
      </c>
    </row>
    <row r="437" spans="11:11" x14ac:dyDescent="0.45">
      <c r="K437">
        <v>77704.374611135834</v>
      </c>
    </row>
    <row r="438" spans="11:11" x14ac:dyDescent="0.45">
      <c r="K438">
        <v>66656.171057832325</v>
      </c>
    </row>
    <row r="439" spans="11:11" x14ac:dyDescent="0.45">
      <c r="K439">
        <v>81699.743527871207</v>
      </c>
    </row>
    <row r="440" spans="11:11" x14ac:dyDescent="0.45">
      <c r="K440">
        <v>72705.451715834322</v>
      </c>
    </row>
    <row r="441" spans="11:11" x14ac:dyDescent="0.45">
      <c r="K441">
        <v>64357.606721290605</v>
      </c>
    </row>
    <row r="442" spans="11:11" x14ac:dyDescent="0.45">
      <c r="K442">
        <v>65288.723958551345</v>
      </c>
    </row>
    <row r="443" spans="11:11" x14ac:dyDescent="0.45">
      <c r="K443">
        <v>60364.298137956772</v>
      </c>
    </row>
    <row r="444" spans="11:11" x14ac:dyDescent="0.45">
      <c r="K444">
        <v>49916.503701048605</v>
      </c>
    </row>
    <row r="445" spans="11:11" x14ac:dyDescent="0.45">
      <c r="K445">
        <v>72431.915443134829</v>
      </c>
    </row>
    <row r="446" spans="11:11" x14ac:dyDescent="0.45">
      <c r="K446">
        <v>63922.617632928996</v>
      </c>
    </row>
    <row r="447" spans="11:11" x14ac:dyDescent="0.45">
      <c r="K447">
        <v>54717.059436867865</v>
      </c>
    </row>
    <row r="448" spans="11:11" x14ac:dyDescent="0.45">
      <c r="K448">
        <v>77165.656865309269</v>
      </c>
    </row>
    <row r="449" spans="11:11" x14ac:dyDescent="0.45">
      <c r="K449">
        <v>81291.675127381284</v>
      </c>
    </row>
    <row r="450" spans="11:11" x14ac:dyDescent="0.45">
      <c r="K450">
        <v>41396.006612574958</v>
      </c>
    </row>
    <row r="451" spans="11:11" x14ac:dyDescent="0.45">
      <c r="K451">
        <v>81277.834053068582</v>
      </c>
    </row>
    <row r="452" spans="11:11" x14ac:dyDescent="0.45">
      <c r="K452">
        <v>53653.096704603173</v>
      </c>
    </row>
    <row r="453" spans="11:11" x14ac:dyDescent="0.45">
      <c r="K453">
        <v>77515.125052734875</v>
      </c>
    </row>
    <row r="454" spans="11:11" x14ac:dyDescent="0.45">
      <c r="K454">
        <v>65162.686634156082</v>
      </c>
    </row>
    <row r="455" spans="11:11" x14ac:dyDescent="0.45">
      <c r="K455">
        <v>74296.404533833032</v>
      </c>
    </row>
    <row r="456" spans="11:11" x14ac:dyDescent="0.45">
      <c r="K456">
        <v>59491.513451181898</v>
      </c>
    </row>
    <row r="457" spans="11:11" x14ac:dyDescent="0.45">
      <c r="K457">
        <v>52588.118736958044</v>
      </c>
    </row>
    <row r="458" spans="11:11" x14ac:dyDescent="0.45">
      <c r="K458">
        <v>59828.281353618688</v>
      </c>
    </row>
    <row r="459" spans="11:11" x14ac:dyDescent="0.45">
      <c r="K459">
        <v>83647.730376430962</v>
      </c>
    </row>
    <row r="460" spans="11:11" x14ac:dyDescent="0.45">
      <c r="K460">
        <v>90315.283726869471</v>
      </c>
    </row>
    <row r="461" spans="11:11" x14ac:dyDescent="0.45">
      <c r="K461">
        <v>73135.45366433452</v>
      </c>
    </row>
    <row r="462" spans="11:11" x14ac:dyDescent="0.45">
      <c r="K462">
        <v>81539.189638629599</v>
      </c>
    </row>
    <row r="463" spans="11:11" x14ac:dyDescent="0.45">
      <c r="K463">
        <v>73508.498746762707</v>
      </c>
    </row>
    <row r="464" spans="11:11" x14ac:dyDescent="0.45">
      <c r="K464">
        <v>45674.410099931876</v>
      </c>
    </row>
    <row r="465" spans="11:11" x14ac:dyDescent="0.45">
      <c r="K465">
        <v>53187.800519527089</v>
      </c>
    </row>
    <row r="466" spans="11:11" x14ac:dyDescent="0.45">
      <c r="K466">
        <v>84394.072620035891</v>
      </c>
    </row>
    <row r="467" spans="11:11" x14ac:dyDescent="0.45">
      <c r="K467">
        <v>63345.295380922398</v>
      </c>
    </row>
    <row r="468" spans="11:11" x14ac:dyDescent="0.45">
      <c r="K468">
        <v>76296.015900547383</v>
      </c>
    </row>
    <row r="469" spans="11:11" x14ac:dyDescent="0.45">
      <c r="K469">
        <v>65816.645541635648</v>
      </c>
    </row>
    <row r="470" spans="11:11" x14ac:dyDescent="0.45">
      <c r="K470">
        <v>67191.542776857576</v>
      </c>
    </row>
    <row r="471" spans="11:11" x14ac:dyDescent="0.45">
      <c r="K471">
        <v>89671.150915053528</v>
      </c>
    </row>
    <row r="472" spans="11:11" x14ac:dyDescent="0.45">
      <c r="K472">
        <v>54943.663356285797</v>
      </c>
    </row>
    <row r="473" spans="11:11" x14ac:dyDescent="0.45">
      <c r="K473">
        <v>57056.184461381541</v>
      </c>
    </row>
    <row r="474" spans="11:11" x14ac:dyDescent="0.45">
      <c r="K474">
        <v>72572.078123808955</v>
      </c>
    </row>
    <row r="475" spans="11:11" x14ac:dyDescent="0.45">
      <c r="K475">
        <v>82238.458790847537</v>
      </c>
    </row>
    <row r="476" spans="11:11" x14ac:dyDescent="0.45">
      <c r="K476">
        <v>63898.088636564433</v>
      </c>
    </row>
    <row r="477" spans="11:11" x14ac:dyDescent="0.45">
      <c r="K477">
        <v>76616.093336001868</v>
      </c>
    </row>
    <row r="478" spans="11:11" x14ac:dyDescent="0.45">
      <c r="K478">
        <v>61271.658039858346</v>
      </c>
    </row>
    <row r="479" spans="11:11" x14ac:dyDescent="0.45">
      <c r="K479">
        <v>70046.194035834938</v>
      </c>
    </row>
    <row r="480" spans="11:11" x14ac:dyDescent="0.45">
      <c r="K480">
        <v>67988.740555212076</v>
      </c>
    </row>
    <row r="481" spans="11:11" x14ac:dyDescent="0.45">
      <c r="K481">
        <v>73942.625699704091</v>
      </c>
    </row>
    <row r="482" spans="11:11" x14ac:dyDescent="0.45">
      <c r="K482">
        <v>53143.08106992596</v>
      </c>
    </row>
    <row r="483" spans="11:11" x14ac:dyDescent="0.45">
      <c r="K483">
        <v>62392.627896398481</v>
      </c>
    </row>
    <row r="484" spans="11:11" x14ac:dyDescent="0.45">
      <c r="K484">
        <v>59643.160045521414</v>
      </c>
    </row>
    <row r="485" spans="11:11" x14ac:dyDescent="0.45">
      <c r="K485">
        <v>41733.608099015022</v>
      </c>
    </row>
    <row r="486" spans="11:11" x14ac:dyDescent="0.45">
      <c r="K486">
        <v>70360.998820003879</v>
      </c>
    </row>
    <row r="487" spans="11:11" x14ac:dyDescent="0.45">
      <c r="K487">
        <v>90968.786813140148</v>
      </c>
    </row>
    <row r="488" spans="11:11" x14ac:dyDescent="0.45">
      <c r="K488">
        <v>74360.960108299638</v>
      </c>
    </row>
    <row r="489" spans="11:11" x14ac:dyDescent="0.45">
      <c r="K489">
        <v>59048.750957068609</v>
      </c>
    </row>
    <row r="490" spans="11:11" x14ac:dyDescent="0.45">
      <c r="K490">
        <v>56883.551536866733</v>
      </c>
    </row>
    <row r="491" spans="11:11" x14ac:dyDescent="0.45">
      <c r="K491">
        <v>59025.117862530693</v>
      </c>
    </row>
    <row r="492" spans="11:11" x14ac:dyDescent="0.45">
      <c r="K492">
        <v>74666.505844594096</v>
      </c>
    </row>
    <row r="493" spans="11:11" x14ac:dyDescent="0.45">
      <c r="K493">
        <v>62982.770592549117</v>
      </c>
    </row>
    <row r="494" spans="11:11" x14ac:dyDescent="0.45">
      <c r="K494">
        <v>47854.884511437973</v>
      </c>
    </row>
    <row r="495" spans="11:11" x14ac:dyDescent="0.45">
      <c r="K495">
        <v>82655.345490275125</v>
      </c>
    </row>
    <row r="496" spans="11:11" x14ac:dyDescent="0.45">
      <c r="K496">
        <v>72128.952655779605</v>
      </c>
    </row>
    <row r="497" spans="11:11" x14ac:dyDescent="0.45">
      <c r="K497">
        <v>66086.365548504924</v>
      </c>
    </row>
    <row r="498" spans="11:11" x14ac:dyDescent="0.45">
      <c r="K498">
        <v>80072.823252164118</v>
      </c>
    </row>
    <row r="499" spans="11:11" x14ac:dyDescent="0.45">
      <c r="K499">
        <v>74514.632048860993</v>
      </c>
    </row>
    <row r="500" spans="11:11" x14ac:dyDescent="0.45">
      <c r="K500">
        <v>45214.559339186424</v>
      </c>
    </row>
    <row r="501" spans="11:11" x14ac:dyDescent="0.45">
      <c r="K501">
        <v>67875.216885780392</v>
      </c>
    </row>
    <row r="502" spans="11:11" x14ac:dyDescent="0.45">
      <c r="K502">
        <v>63904.47944217371</v>
      </c>
    </row>
    <row r="503" spans="11:11" x14ac:dyDescent="0.45">
      <c r="K503">
        <v>52450.358248950186</v>
      </c>
    </row>
    <row r="504" spans="11:11" x14ac:dyDescent="0.45">
      <c r="K504">
        <v>79533.905751733415</v>
      </c>
    </row>
    <row r="505" spans="11:11" x14ac:dyDescent="0.45">
      <c r="K505">
        <v>67020.439963516706</v>
      </c>
    </row>
    <row r="506" spans="11:11" x14ac:dyDescent="0.45">
      <c r="K506">
        <v>53253.266098235843</v>
      </c>
    </row>
    <row r="507" spans="11:11" x14ac:dyDescent="0.45">
      <c r="K507">
        <v>70915.599047602343</v>
      </c>
    </row>
    <row r="508" spans="11:11" x14ac:dyDescent="0.45">
      <c r="K508">
        <v>67244.519233687082</v>
      </c>
    </row>
    <row r="509" spans="11:11" x14ac:dyDescent="0.45">
      <c r="K509">
        <v>70079.988437876833</v>
      </c>
    </row>
    <row r="510" spans="11:11" x14ac:dyDescent="0.45">
      <c r="K510">
        <v>89198.067136345562</v>
      </c>
    </row>
    <row r="511" spans="11:11" x14ac:dyDescent="0.45">
      <c r="K511">
        <v>61659.052252467671</v>
      </c>
    </row>
    <row r="512" spans="11:11" x14ac:dyDescent="0.45">
      <c r="K512">
        <v>66393.469123897681</v>
      </c>
    </row>
    <row r="513" spans="11:11" x14ac:dyDescent="0.45">
      <c r="K513">
        <v>90185.69874660029</v>
      </c>
    </row>
    <row r="514" spans="11:11" x14ac:dyDescent="0.45">
      <c r="K514">
        <v>54497.680892604854</v>
      </c>
    </row>
    <row r="515" spans="11:11" x14ac:dyDescent="0.45">
      <c r="K515">
        <v>78840.885818833907</v>
      </c>
    </row>
    <row r="516" spans="11:11" x14ac:dyDescent="0.45">
      <c r="K516">
        <v>45741.2306511442</v>
      </c>
    </row>
    <row r="517" spans="11:11" x14ac:dyDescent="0.45">
      <c r="K517">
        <v>72853.146683418439</v>
      </c>
    </row>
    <row r="518" spans="11:11" x14ac:dyDescent="0.45">
      <c r="K518">
        <v>68058.11969914721</v>
      </c>
    </row>
    <row r="519" spans="11:11" x14ac:dyDescent="0.45">
      <c r="K519">
        <v>62986.991711056777</v>
      </c>
    </row>
    <row r="520" spans="11:11" x14ac:dyDescent="0.45">
      <c r="K520">
        <v>66987.77098327523</v>
      </c>
    </row>
    <row r="521" spans="11:11" x14ac:dyDescent="0.45">
      <c r="K521">
        <v>59784.065602643692</v>
      </c>
    </row>
    <row r="522" spans="11:11" x14ac:dyDescent="0.45">
      <c r="K522">
        <v>88917.201456751354</v>
      </c>
    </row>
    <row r="523" spans="11:11" x14ac:dyDescent="0.45">
      <c r="K523">
        <v>92215.678218777553</v>
      </c>
    </row>
    <row r="524" spans="11:11" x14ac:dyDescent="0.45">
      <c r="K524">
        <v>76736.021375907192</v>
      </c>
    </row>
    <row r="525" spans="11:11" x14ac:dyDescent="0.45">
      <c r="K525">
        <v>79209.705398042148</v>
      </c>
    </row>
    <row r="526" spans="11:11" x14ac:dyDescent="0.45">
      <c r="K526">
        <v>58210.089543408751</v>
      </c>
    </row>
    <row r="527" spans="11:11" x14ac:dyDescent="0.45">
      <c r="K527">
        <v>51384.321806240929</v>
      </c>
    </row>
    <row r="528" spans="11:11" x14ac:dyDescent="0.45">
      <c r="K528">
        <v>44761.556095069798</v>
      </c>
    </row>
    <row r="529" spans="11:11" x14ac:dyDescent="0.45">
      <c r="K529">
        <v>77022.22441525037</v>
      </c>
    </row>
    <row r="530" spans="11:11" x14ac:dyDescent="0.45">
      <c r="K530">
        <v>69872.351537789524</v>
      </c>
    </row>
    <row r="531" spans="11:11" x14ac:dyDescent="0.45">
      <c r="K531">
        <v>73156.952333799723</v>
      </c>
    </row>
    <row r="532" spans="11:11" x14ac:dyDescent="0.45">
      <c r="K532">
        <v>71910.262082551475</v>
      </c>
    </row>
    <row r="533" spans="11:11" x14ac:dyDescent="0.45">
      <c r="K533">
        <v>58258.7513074046</v>
      </c>
    </row>
    <row r="534" spans="11:11" x14ac:dyDescent="0.45">
      <c r="K534">
        <v>64947.322716914685</v>
      </c>
    </row>
    <row r="535" spans="11:11" x14ac:dyDescent="0.45">
      <c r="K535">
        <v>62734.139139544808</v>
      </c>
    </row>
    <row r="536" spans="11:11" x14ac:dyDescent="0.45">
      <c r="K536">
        <v>61602.859173705088</v>
      </c>
    </row>
    <row r="537" spans="11:11" x14ac:dyDescent="0.45">
      <c r="K537">
        <v>66427.908873975146</v>
      </c>
    </row>
    <row r="538" spans="11:11" x14ac:dyDescent="0.45">
      <c r="K538">
        <v>65870.512870620194</v>
      </c>
    </row>
    <row r="539" spans="11:11" x14ac:dyDescent="0.45">
      <c r="K539">
        <v>60088.082563879667</v>
      </c>
    </row>
    <row r="540" spans="11:11" x14ac:dyDescent="0.45">
      <c r="K540">
        <v>65617.47816314736</v>
      </c>
    </row>
    <row r="541" spans="11:11" x14ac:dyDescent="0.45">
      <c r="K541">
        <v>47624.249360358248</v>
      </c>
    </row>
    <row r="542" spans="11:11" x14ac:dyDescent="0.45">
      <c r="K542">
        <v>71741.10351738421</v>
      </c>
    </row>
    <row r="543" spans="11:11" x14ac:dyDescent="0.45">
      <c r="K543">
        <v>69861.25982451209</v>
      </c>
    </row>
    <row r="544" spans="11:11" x14ac:dyDescent="0.45">
      <c r="K544">
        <v>70410.719548597321</v>
      </c>
    </row>
    <row r="545" spans="11:11" x14ac:dyDescent="0.45">
      <c r="K545">
        <v>58894.144781381976</v>
      </c>
    </row>
    <row r="546" spans="11:11" x14ac:dyDescent="0.45">
      <c r="K546">
        <v>82212.927859332121</v>
      </c>
    </row>
    <row r="547" spans="11:11" x14ac:dyDescent="0.45">
      <c r="K547">
        <v>59649.111591799316</v>
      </c>
    </row>
    <row r="548" spans="11:11" x14ac:dyDescent="0.45">
      <c r="K548">
        <v>74321.288201275253</v>
      </c>
    </row>
    <row r="549" spans="11:11" x14ac:dyDescent="0.45">
      <c r="K549">
        <v>79262.893115393686</v>
      </c>
    </row>
    <row r="550" spans="11:11" x14ac:dyDescent="0.45">
      <c r="K550">
        <v>53537.471450349505</v>
      </c>
    </row>
    <row r="551" spans="11:11" x14ac:dyDescent="0.45">
      <c r="K551">
        <v>72118.025611931138</v>
      </c>
    </row>
    <row r="552" spans="11:11" x14ac:dyDescent="0.45">
      <c r="K552">
        <v>72905.158565894482</v>
      </c>
    </row>
    <row r="553" spans="11:11" x14ac:dyDescent="0.45">
      <c r="K553">
        <v>75600.94847286171</v>
      </c>
    </row>
    <row r="554" spans="11:11" x14ac:dyDescent="0.45">
      <c r="K554">
        <v>77982.089525147705</v>
      </c>
    </row>
    <row r="555" spans="11:11" x14ac:dyDescent="0.45">
      <c r="K555">
        <v>92268.898276505875</v>
      </c>
    </row>
    <row r="556" spans="11:11" x14ac:dyDescent="0.45">
      <c r="K556">
        <v>56255.351709283859</v>
      </c>
    </row>
    <row r="557" spans="11:11" x14ac:dyDescent="0.45">
      <c r="K557">
        <v>76693.916567118489</v>
      </c>
    </row>
    <row r="558" spans="11:11" x14ac:dyDescent="0.45">
      <c r="K558">
        <v>72594.659111779227</v>
      </c>
    </row>
    <row r="559" spans="11:11" x14ac:dyDescent="0.45">
      <c r="K559">
        <v>63232.375122905782</v>
      </c>
    </row>
    <row r="560" spans="11:11" x14ac:dyDescent="0.45">
      <c r="K560">
        <v>80756.243240692187</v>
      </c>
    </row>
    <row r="561" spans="11:11" x14ac:dyDescent="0.45">
      <c r="K561">
        <v>70925.428702261968</v>
      </c>
    </row>
    <row r="562" spans="11:11" x14ac:dyDescent="0.45">
      <c r="K562">
        <v>80719.512225727798</v>
      </c>
    </row>
    <row r="563" spans="11:11" x14ac:dyDescent="0.45">
      <c r="K563">
        <v>83911.907850725489</v>
      </c>
    </row>
    <row r="564" spans="11:11" x14ac:dyDescent="0.45">
      <c r="K564">
        <v>55508.997001602096</v>
      </c>
    </row>
    <row r="565" spans="11:11" x14ac:dyDescent="0.45">
      <c r="K565">
        <v>55027.112803909818</v>
      </c>
    </row>
    <row r="566" spans="11:11" x14ac:dyDescent="0.45">
      <c r="K566">
        <v>72603.448785482746</v>
      </c>
    </row>
    <row r="567" spans="11:11" x14ac:dyDescent="0.45">
      <c r="K567">
        <v>70441.166050981992</v>
      </c>
    </row>
    <row r="568" spans="11:11" x14ac:dyDescent="0.45">
      <c r="K568">
        <v>76259.427484278494</v>
      </c>
    </row>
    <row r="569" spans="11:11" x14ac:dyDescent="0.45">
      <c r="K569">
        <v>77653.444434522884</v>
      </c>
    </row>
    <row r="570" spans="11:11" x14ac:dyDescent="0.45">
      <c r="K570">
        <v>59813.354405217804</v>
      </c>
    </row>
    <row r="571" spans="11:11" x14ac:dyDescent="0.45">
      <c r="K571">
        <v>62861.892318478203</v>
      </c>
    </row>
    <row r="572" spans="11:11" x14ac:dyDescent="0.45">
      <c r="K572">
        <v>60235.22131514916</v>
      </c>
    </row>
    <row r="573" spans="11:11" x14ac:dyDescent="0.45">
      <c r="K573">
        <v>67713.039492825177</v>
      </c>
    </row>
    <row r="574" spans="11:11" x14ac:dyDescent="0.45">
      <c r="K574">
        <v>51850.12293026461</v>
      </c>
    </row>
    <row r="575" spans="11:11" x14ac:dyDescent="0.45">
      <c r="K575">
        <v>61825.250771925203</v>
      </c>
    </row>
    <row r="576" spans="11:11" x14ac:dyDescent="0.45">
      <c r="K576">
        <v>64090.404921145629</v>
      </c>
    </row>
    <row r="577" spans="11:11" x14ac:dyDescent="0.45">
      <c r="K577">
        <v>68231.266256993025</v>
      </c>
    </row>
    <row r="578" spans="11:11" x14ac:dyDescent="0.45">
      <c r="K578">
        <v>75055.629680969694</v>
      </c>
    </row>
    <row r="579" spans="11:11" x14ac:dyDescent="0.45">
      <c r="K579">
        <v>68026.198353811022</v>
      </c>
    </row>
    <row r="580" spans="11:11" x14ac:dyDescent="0.45">
      <c r="K580">
        <v>71235.113654435831</v>
      </c>
    </row>
    <row r="581" spans="11:11" x14ac:dyDescent="0.45">
      <c r="K581">
        <v>75315.301543414826</v>
      </c>
    </row>
    <row r="582" spans="11:11" x14ac:dyDescent="0.45">
      <c r="K582">
        <v>72606.73674189813</v>
      </c>
    </row>
    <row r="583" spans="11:11" x14ac:dyDescent="0.45">
      <c r="K583">
        <v>55477.148539804031</v>
      </c>
    </row>
    <row r="584" spans="11:11" x14ac:dyDescent="0.45">
      <c r="K584">
        <v>47426.519124023995</v>
      </c>
    </row>
    <row r="585" spans="11:11" x14ac:dyDescent="0.45">
      <c r="K585">
        <v>73656.618798076393</v>
      </c>
    </row>
    <row r="586" spans="11:11" x14ac:dyDescent="0.45">
      <c r="K586">
        <v>63315.878635431589</v>
      </c>
    </row>
    <row r="587" spans="11:11" x14ac:dyDescent="0.45">
      <c r="K587">
        <v>62381.278211943289</v>
      </c>
    </row>
    <row r="588" spans="11:11" x14ac:dyDescent="0.45">
      <c r="K588">
        <v>59899.742115051238</v>
      </c>
    </row>
    <row r="589" spans="11:11" x14ac:dyDescent="0.45">
      <c r="K589">
        <v>86740.458540032851</v>
      </c>
    </row>
    <row r="590" spans="11:11" x14ac:dyDescent="0.45">
      <c r="K590">
        <v>78009.448948482081</v>
      </c>
    </row>
    <row r="591" spans="11:11" x14ac:dyDescent="0.45">
      <c r="K591">
        <v>53177.263852826989</v>
      </c>
    </row>
    <row r="592" spans="11:11" x14ac:dyDescent="0.45">
      <c r="K592">
        <v>54737.647769493196</v>
      </c>
    </row>
    <row r="593" spans="11:11" x14ac:dyDescent="0.45">
      <c r="K593">
        <v>81345.384205721071</v>
      </c>
    </row>
    <row r="594" spans="11:11" x14ac:dyDescent="0.45">
      <c r="K594">
        <v>74462.989649865689</v>
      </c>
    </row>
    <row r="595" spans="11:11" x14ac:dyDescent="0.45">
      <c r="K595">
        <v>77919.772431053614</v>
      </c>
    </row>
    <row r="596" spans="11:11" x14ac:dyDescent="0.45">
      <c r="K596">
        <v>64810.453579904264</v>
      </c>
    </row>
    <row r="597" spans="11:11" x14ac:dyDescent="0.45">
      <c r="K597">
        <v>65097.464660411286</v>
      </c>
    </row>
    <row r="598" spans="11:11" x14ac:dyDescent="0.45">
      <c r="K598">
        <v>76390.964604809007</v>
      </c>
    </row>
    <row r="599" spans="11:11" x14ac:dyDescent="0.45">
      <c r="K599">
        <v>63925.414877829542</v>
      </c>
    </row>
    <row r="600" spans="11:11" x14ac:dyDescent="0.45">
      <c r="K600">
        <v>90894.096654239911</v>
      </c>
    </row>
    <row r="601" spans="11:11" x14ac:dyDescent="0.45">
      <c r="K601">
        <v>54386.146313413155</v>
      </c>
    </row>
    <row r="602" spans="11:11" x14ac:dyDescent="0.45">
      <c r="K602">
        <v>75094.909621275117</v>
      </c>
    </row>
    <row r="603" spans="11:11" x14ac:dyDescent="0.45">
      <c r="K603">
        <v>60431.69995568155</v>
      </c>
    </row>
    <row r="604" spans="11:11" x14ac:dyDescent="0.45">
      <c r="K604">
        <v>72120.545430748942</v>
      </c>
    </row>
    <row r="605" spans="11:11" x14ac:dyDescent="0.45">
      <c r="K605">
        <v>67983.969958598289</v>
      </c>
    </row>
    <row r="606" spans="11:11" x14ac:dyDescent="0.45">
      <c r="K606">
        <v>76920.412392777114</v>
      </c>
    </row>
    <row r="607" spans="11:11" x14ac:dyDescent="0.45">
      <c r="K607">
        <v>57748.4231811055</v>
      </c>
    </row>
    <row r="608" spans="11:11" x14ac:dyDescent="0.45">
      <c r="K608">
        <v>71444.669169606219</v>
      </c>
    </row>
    <row r="609" spans="11:11" x14ac:dyDescent="0.45">
      <c r="K609">
        <v>63771.414044601377</v>
      </c>
    </row>
    <row r="610" spans="11:11" x14ac:dyDescent="0.45">
      <c r="K610">
        <v>69634.194554340313</v>
      </c>
    </row>
    <row r="611" spans="11:11" x14ac:dyDescent="0.45">
      <c r="K611">
        <v>63158.253409396428</v>
      </c>
    </row>
    <row r="612" spans="11:11" x14ac:dyDescent="0.45">
      <c r="K612">
        <v>71182.254787961487</v>
      </c>
    </row>
    <row r="613" spans="11:11" x14ac:dyDescent="0.45">
      <c r="K613">
        <v>75599.58351709717</v>
      </c>
    </row>
    <row r="614" spans="11:11" x14ac:dyDescent="0.45">
      <c r="K614">
        <v>82651.497838685289</v>
      </c>
    </row>
    <row r="615" spans="11:11" x14ac:dyDescent="0.45">
      <c r="K615">
        <v>68764.661254234568</v>
      </c>
    </row>
    <row r="616" spans="11:11" x14ac:dyDescent="0.45">
      <c r="K616">
        <v>35741.46254911743</v>
      </c>
    </row>
    <row r="617" spans="11:11" x14ac:dyDescent="0.45">
      <c r="K617">
        <v>72202.559806315447</v>
      </c>
    </row>
    <row r="618" spans="11:11" x14ac:dyDescent="0.45">
      <c r="K618">
        <v>74047.597686464273</v>
      </c>
    </row>
    <row r="619" spans="11:11" x14ac:dyDescent="0.45">
      <c r="K619">
        <v>95940.743742086503</v>
      </c>
    </row>
    <row r="620" spans="11:11" x14ac:dyDescent="0.45">
      <c r="K620">
        <v>54265.53387734131</v>
      </c>
    </row>
    <row r="621" spans="11:11" x14ac:dyDescent="0.45">
      <c r="K621">
        <v>40827.947837705011</v>
      </c>
    </row>
    <row r="622" spans="11:11" x14ac:dyDescent="0.45">
      <c r="K622">
        <v>51697.597596344101</v>
      </c>
    </row>
    <row r="623" spans="11:11" x14ac:dyDescent="0.45">
      <c r="K623">
        <v>78899.13403326484</v>
      </c>
    </row>
    <row r="624" spans="11:11" x14ac:dyDescent="0.45">
      <c r="K624">
        <v>77469.184967419569</v>
      </c>
    </row>
    <row r="625" spans="11:11" x14ac:dyDescent="0.45">
      <c r="K625">
        <v>56445.097683836633</v>
      </c>
    </row>
    <row r="626" spans="11:11" x14ac:dyDescent="0.45">
      <c r="K626">
        <v>80981.980362380651</v>
      </c>
    </row>
    <row r="627" spans="11:11" x14ac:dyDescent="0.45">
      <c r="K627">
        <v>66171.450954889864</v>
      </c>
    </row>
    <row r="628" spans="11:11" x14ac:dyDescent="0.45">
      <c r="K628">
        <v>78820.393392885147</v>
      </c>
    </row>
    <row r="629" spans="11:11" x14ac:dyDescent="0.45">
      <c r="K629">
        <v>75885.179877277362</v>
      </c>
    </row>
    <row r="630" spans="11:11" x14ac:dyDescent="0.45">
      <c r="K630">
        <v>68478.315850906773</v>
      </c>
    </row>
    <row r="631" spans="11:11" x14ac:dyDescent="0.45">
      <c r="K631">
        <v>58656.868053650542</v>
      </c>
    </row>
    <row r="632" spans="11:11" x14ac:dyDescent="0.45">
      <c r="K632">
        <v>99926.007139468842</v>
      </c>
    </row>
    <row r="633" spans="11:11" x14ac:dyDescent="0.45">
      <c r="K633">
        <v>84352.810097795475</v>
      </c>
    </row>
    <row r="634" spans="11:11" x14ac:dyDescent="0.45">
      <c r="K634">
        <v>53548.526711321385</v>
      </c>
    </row>
    <row r="635" spans="11:11" x14ac:dyDescent="0.45">
      <c r="K635">
        <v>71214.283185878579</v>
      </c>
    </row>
    <row r="636" spans="11:11" x14ac:dyDescent="0.45">
      <c r="K636">
        <v>67817.136848589274</v>
      </c>
    </row>
    <row r="637" spans="11:11" x14ac:dyDescent="0.45">
      <c r="K637">
        <v>64649.228663507645</v>
      </c>
    </row>
    <row r="638" spans="11:11" x14ac:dyDescent="0.45">
      <c r="K638">
        <v>71983.090876319096</v>
      </c>
    </row>
    <row r="639" spans="11:11" x14ac:dyDescent="0.45">
      <c r="K639">
        <v>85164.384782969326</v>
      </c>
    </row>
    <row r="640" spans="11:11" x14ac:dyDescent="0.45">
      <c r="K640">
        <v>74913.873473363783</v>
      </c>
    </row>
    <row r="641" spans="11:11" x14ac:dyDescent="0.45">
      <c r="K641">
        <v>79454.256454609684</v>
      </c>
    </row>
    <row r="642" spans="11:11" x14ac:dyDescent="0.45">
      <c r="K642">
        <v>82688.190431297946</v>
      </c>
    </row>
    <row r="643" spans="11:11" x14ac:dyDescent="0.45">
      <c r="K643">
        <v>88049.217907069687</v>
      </c>
    </row>
    <row r="644" spans="11:11" x14ac:dyDescent="0.45">
      <c r="K644">
        <v>75041.085136441281</v>
      </c>
    </row>
    <row r="645" spans="11:11" x14ac:dyDescent="0.45">
      <c r="K645">
        <v>69491.853470630958</v>
      </c>
    </row>
    <row r="646" spans="11:11" x14ac:dyDescent="0.45">
      <c r="K646">
        <v>57411.694181040963</v>
      </c>
    </row>
    <row r="647" spans="11:11" x14ac:dyDescent="0.45">
      <c r="K647">
        <v>63493.399402392388</v>
      </c>
    </row>
    <row r="648" spans="11:11" x14ac:dyDescent="0.45">
      <c r="K648">
        <v>68155.155870498274</v>
      </c>
    </row>
    <row r="649" spans="11:11" x14ac:dyDescent="0.45">
      <c r="K649">
        <v>74350.818465369623</v>
      </c>
    </row>
    <row r="650" spans="11:11" x14ac:dyDescent="0.45">
      <c r="K650">
        <v>46787.59072312231</v>
      </c>
    </row>
    <row r="651" spans="11:11" x14ac:dyDescent="0.45">
      <c r="K651">
        <v>55913.521784776618</v>
      </c>
    </row>
    <row r="652" spans="11:11" x14ac:dyDescent="0.45">
      <c r="K652">
        <v>78235.15372171496</v>
      </c>
    </row>
    <row r="653" spans="11:11" x14ac:dyDescent="0.45">
      <c r="K653">
        <v>84413.312405312754</v>
      </c>
    </row>
    <row r="654" spans="11:11" x14ac:dyDescent="0.45">
      <c r="K654">
        <v>63459.655469149991</v>
      </c>
    </row>
    <row r="655" spans="11:11" x14ac:dyDescent="0.45">
      <c r="K655">
        <v>73022.693649096866</v>
      </c>
    </row>
    <row r="656" spans="11:11" x14ac:dyDescent="0.45">
      <c r="K656">
        <v>72748.615121581635</v>
      </c>
    </row>
    <row r="657" spans="11:11" x14ac:dyDescent="0.45">
      <c r="K657">
        <v>62906.063320171248</v>
      </c>
    </row>
    <row r="658" spans="11:11" x14ac:dyDescent="0.45">
      <c r="K658">
        <v>83445.262780419012</v>
      </c>
    </row>
    <row r="659" spans="11:11" x14ac:dyDescent="0.45">
      <c r="K659">
        <v>61408.772593809146</v>
      </c>
    </row>
    <row r="660" spans="11:11" x14ac:dyDescent="0.45">
      <c r="K660">
        <v>75919.423368826523</v>
      </c>
    </row>
    <row r="661" spans="11:11" x14ac:dyDescent="0.45">
      <c r="K661">
        <v>59137.919682950713</v>
      </c>
    </row>
    <row r="662" spans="11:11" x14ac:dyDescent="0.45">
      <c r="K662">
        <v>54925.208418083232</v>
      </c>
    </row>
    <row r="663" spans="11:11" x14ac:dyDescent="0.45">
      <c r="K663">
        <v>55062.895917496564</v>
      </c>
    </row>
    <row r="664" spans="11:11" x14ac:dyDescent="0.45">
      <c r="K664">
        <v>67262.59989939614</v>
      </c>
    </row>
    <row r="665" spans="11:11" x14ac:dyDescent="0.45">
      <c r="K665">
        <v>53961.421895720778</v>
      </c>
    </row>
    <row r="666" spans="11:11" x14ac:dyDescent="0.45">
      <c r="K666">
        <v>66871.215862776837</v>
      </c>
    </row>
    <row r="667" spans="11:11" x14ac:dyDescent="0.45">
      <c r="K667">
        <v>53996.491999633377</v>
      </c>
    </row>
    <row r="668" spans="11:11" x14ac:dyDescent="0.45">
      <c r="K668">
        <v>43903.475862211315</v>
      </c>
    </row>
    <row r="669" spans="11:11" x14ac:dyDescent="0.45">
      <c r="K669">
        <v>80731.426172847481</v>
      </c>
    </row>
    <row r="670" spans="11:11" x14ac:dyDescent="0.45">
      <c r="K670">
        <v>58213.359373064828</v>
      </c>
    </row>
    <row r="671" spans="11:11" x14ac:dyDescent="0.45">
      <c r="K671">
        <v>68785.111191645337</v>
      </c>
    </row>
    <row r="672" spans="11:11" x14ac:dyDescent="0.45">
      <c r="K672">
        <v>48794.534860670698</v>
      </c>
    </row>
    <row r="673" spans="11:11" x14ac:dyDescent="0.45">
      <c r="K673">
        <v>77287.750341311039</v>
      </c>
    </row>
    <row r="674" spans="11:11" x14ac:dyDescent="0.45">
      <c r="K674">
        <v>51349.457770468922</v>
      </c>
    </row>
    <row r="675" spans="11:11" x14ac:dyDescent="0.45">
      <c r="K675">
        <v>95782.549742075818</v>
      </c>
    </row>
    <row r="676" spans="11:11" x14ac:dyDescent="0.45">
      <c r="K676">
        <v>59482.659775795131</v>
      </c>
    </row>
    <row r="677" spans="11:11" x14ac:dyDescent="0.45">
      <c r="K677">
        <v>73201.338308730061</v>
      </c>
    </row>
    <row r="678" spans="11:11" x14ac:dyDescent="0.45">
      <c r="K678">
        <v>77530.150913476813</v>
      </c>
    </row>
    <row r="679" spans="11:11" x14ac:dyDescent="0.45">
      <c r="K679">
        <v>64696.881957102043</v>
      </c>
    </row>
    <row r="680" spans="11:11" x14ac:dyDescent="0.45">
      <c r="K680">
        <v>54852.090527156346</v>
      </c>
    </row>
    <row r="681" spans="11:11" x14ac:dyDescent="0.45">
      <c r="K681">
        <v>83359.780788533157</v>
      </c>
    </row>
    <row r="682" spans="11:11" x14ac:dyDescent="0.45">
      <c r="K682">
        <v>86258.58423043022</v>
      </c>
    </row>
    <row r="683" spans="11:11" x14ac:dyDescent="0.45">
      <c r="K683">
        <v>76038.134436564185</v>
      </c>
    </row>
    <row r="684" spans="11:11" x14ac:dyDescent="0.45">
      <c r="K684">
        <v>70035.113417126762</v>
      </c>
    </row>
    <row r="685" spans="11:11" x14ac:dyDescent="0.45">
      <c r="K685">
        <v>75426.50896587476</v>
      </c>
    </row>
    <row r="686" spans="11:11" x14ac:dyDescent="0.45">
      <c r="K686">
        <v>78948.667373249962</v>
      </c>
    </row>
    <row r="687" spans="11:11" x14ac:dyDescent="0.45">
      <c r="K687">
        <v>53840.558256620621</v>
      </c>
    </row>
    <row r="688" spans="11:11" x14ac:dyDescent="0.45">
      <c r="K688">
        <v>71484.71637515747</v>
      </c>
    </row>
    <row r="689" spans="11:11" x14ac:dyDescent="0.45">
      <c r="K689">
        <v>70014.564812121389</v>
      </c>
    </row>
    <row r="690" spans="11:11" x14ac:dyDescent="0.45">
      <c r="K690">
        <v>71786.470957992075</v>
      </c>
    </row>
    <row r="691" spans="11:11" x14ac:dyDescent="0.45">
      <c r="K691">
        <v>68009.496608529182</v>
      </c>
    </row>
    <row r="692" spans="11:11" x14ac:dyDescent="0.45">
      <c r="K692">
        <v>81670.163563179347</v>
      </c>
    </row>
    <row r="693" spans="11:11" x14ac:dyDescent="0.45">
      <c r="K693">
        <v>64858.016343078569</v>
      </c>
    </row>
    <row r="694" spans="11:11" x14ac:dyDescent="0.45">
      <c r="K694">
        <v>67367.649869107656</v>
      </c>
    </row>
    <row r="695" spans="11:11" x14ac:dyDescent="0.45">
      <c r="K695">
        <v>62257.425771897033</v>
      </c>
    </row>
    <row r="696" spans="11:11" x14ac:dyDescent="0.45">
      <c r="K696">
        <v>71259.789575168543</v>
      </c>
    </row>
    <row r="697" spans="11:11" x14ac:dyDescent="0.45">
      <c r="K697">
        <v>70305.187558217876</v>
      </c>
    </row>
    <row r="698" spans="11:11" x14ac:dyDescent="0.45">
      <c r="K698">
        <v>69642.640998045128</v>
      </c>
    </row>
    <row r="699" spans="11:11" x14ac:dyDescent="0.45">
      <c r="K699">
        <v>58865.866601075009</v>
      </c>
    </row>
    <row r="700" spans="11:11" x14ac:dyDescent="0.45">
      <c r="K700">
        <v>85746.02570384898</v>
      </c>
    </row>
    <row r="701" spans="11:11" x14ac:dyDescent="0.45">
      <c r="K701">
        <v>64888.161464971519</v>
      </c>
    </row>
    <row r="702" spans="11:11" x14ac:dyDescent="0.45">
      <c r="K702">
        <v>68593.6545390627</v>
      </c>
    </row>
    <row r="703" spans="11:11" x14ac:dyDescent="0.45">
      <c r="K703">
        <v>73372.827298179429</v>
      </c>
    </row>
    <row r="704" spans="11:11" x14ac:dyDescent="0.45">
      <c r="K704">
        <v>61379.337693946349</v>
      </c>
    </row>
    <row r="705" spans="11:11" x14ac:dyDescent="0.45">
      <c r="K705">
        <v>86893.478626853321</v>
      </c>
    </row>
    <row r="706" spans="11:11" x14ac:dyDescent="0.45">
      <c r="K706">
        <v>65477.530433941683</v>
      </c>
    </row>
    <row r="707" spans="11:11" x14ac:dyDescent="0.45">
      <c r="K707">
        <v>67144.200685593052</v>
      </c>
    </row>
    <row r="708" spans="11:11" x14ac:dyDescent="0.45">
      <c r="K708">
        <v>59711.968266985459</v>
      </c>
    </row>
    <row r="709" spans="11:11" x14ac:dyDescent="0.45">
      <c r="K709">
        <v>84050.364112732961</v>
      </c>
    </row>
    <row r="710" spans="11:11" x14ac:dyDescent="0.45">
      <c r="K710">
        <v>81501.426869100746</v>
      </c>
    </row>
    <row r="711" spans="11:11" x14ac:dyDescent="0.45">
      <c r="K711">
        <v>77588.577311535249</v>
      </c>
    </row>
    <row r="712" spans="11:11" x14ac:dyDescent="0.45">
      <c r="K712">
        <v>71705.027006803124</v>
      </c>
    </row>
    <row r="713" spans="11:11" x14ac:dyDescent="0.45">
      <c r="K713">
        <v>74689.899833739299</v>
      </c>
    </row>
    <row r="714" spans="11:11" x14ac:dyDescent="0.45">
      <c r="K714">
        <v>82287.187379315772</v>
      </c>
    </row>
    <row r="715" spans="11:11" x14ac:dyDescent="0.45">
      <c r="K715">
        <v>80483.738373223081</v>
      </c>
    </row>
    <row r="716" spans="11:11" x14ac:dyDescent="0.45">
      <c r="K716">
        <v>66157.793878684766</v>
      </c>
    </row>
    <row r="717" spans="11:11" x14ac:dyDescent="0.45">
      <c r="K717">
        <v>87968.739452692549</v>
      </c>
    </row>
    <row r="718" spans="11:11" x14ac:dyDescent="0.45">
      <c r="K718">
        <v>53390.901514324403</v>
      </c>
    </row>
    <row r="719" spans="11:11" x14ac:dyDescent="0.45">
      <c r="K719">
        <v>60442.675973091013</v>
      </c>
    </row>
    <row r="720" spans="11:11" x14ac:dyDescent="0.45">
      <c r="K720">
        <v>66128.99306513161</v>
      </c>
    </row>
    <row r="721" spans="11:11" x14ac:dyDescent="0.45">
      <c r="K721">
        <v>58448.414302003854</v>
      </c>
    </row>
    <row r="722" spans="11:11" x14ac:dyDescent="0.45">
      <c r="K722">
        <v>64003.667661246844</v>
      </c>
    </row>
    <row r="723" spans="11:11" x14ac:dyDescent="0.45">
      <c r="K723">
        <v>73314.084390449003</v>
      </c>
    </row>
    <row r="724" spans="11:11" x14ac:dyDescent="0.45">
      <c r="K724">
        <v>76514.500180656818</v>
      </c>
    </row>
    <row r="725" spans="11:11" x14ac:dyDescent="0.45">
      <c r="K725">
        <v>64126.222940574728</v>
      </c>
    </row>
    <row r="726" spans="11:11" x14ac:dyDescent="0.45">
      <c r="K726">
        <v>85342.200332091583</v>
      </c>
    </row>
    <row r="727" spans="11:11" x14ac:dyDescent="0.45">
      <c r="K727">
        <v>60989.387565525132</v>
      </c>
    </row>
    <row r="728" spans="11:11" x14ac:dyDescent="0.45">
      <c r="K728">
        <v>79480.65882056659</v>
      </c>
    </row>
    <row r="729" spans="11:11" x14ac:dyDescent="0.45">
      <c r="K729">
        <v>76668.185783438123</v>
      </c>
    </row>
    <row r="730" spans="11:11" x14ac:dyDescent="0.45">
      <c r="K730">
        <v>71784.798178543031</v>
      </c>
    </row>
    <row r="731" spans="11:11" x14ac:dyDescent="0.45">
      <c r="K731">
        <v>65237.155996548914</v>
      </c>
    </row>
    <row r="732" spans="11:11" x14ac:dyDescent="0.45">
      <c r="K732">
        <v>65817.559401474384</v>
      </c>
    </row>
    <row r="733" spans="11:11" x14ac:dyDescent="0.45">
      <c r="K733">
        <v>67244.817991662349</v>
      </c>
    </row>
    <row r="734" spans="11:11" x14ac:dyDescent="0.45">
      <c r="K734">
        <v>60413.072343641521</v>
      </c>
    </row>
    <row r="735" spans="11:11" x14ac:dyDescent="0.45">
      <c r="K735">
        <v>80741.502946619323</v>
      </c>
    </row>
    <row r="736" spans="11:11" x14ac:dyDescent="0.45">
      <c r="K736">
        <v>88083.230897148984</v>
      </c>
    </row>
    <row r="737" spans="11:11" x14ac:dyDescent="0.45">
      <c r="K737">
        <v>58243.293694620428</v>
      </c>
    </row>
    <row r="738" spans="11:11" x14ac:dyDescent="0.45">
      <c r="K738">
        <v>66558.745537596318</v>
      </c>
    </row>
    <row r="739" spans="11:11" x14ac:dyDescent="0.45">
      <c r="K739">
        <v>44748.228529919332</v>
      </c>
    </row>
    <row r="740" spans="11:11" x14ac:dyDescent="0.45">
      <c r="K740">
        <v>93023.522587190484</v>
      </c>
    </row>
    <row r="741" spans="11:11" x14ac:dyDescent="0.45">
      <c r="K741">
        <v>89382.261731576349</v>
      </c>
    </row>
    <row r="742" spans="11:11" x14ac:dyDescent="0.45">
      <c r="K742">
        <v>76345.724665163551</v>
      </c>
    </row>
    <row r="743" spans="11:11" x14ac:dyDescent="0.45">
      <c r="K743">
        <v>82175.229876624697</v>
      </c>
    </row>
    <row r="744" spans="11:11" x14ac:dyDescent="0.45">
      <c r="K744">
        <v>74891.701480390897</v>
      </c>
    </row>
    <row r="745" spans="11:11" x14ac:dyDescent="0.45">
      <c r="K745">
        <v>42982.240426298726</v>
      </c>
    </row>
    <row r="746" spans="11:11" x14ac:dyDescent="0.45">
      <c r="K746">
        <v>61932.433443926762</v>
      </c>
    </row>
    <row r="747" spans="11:11" x14ac:dyDescent="0.45">
      <c r="K747">
        <v>67316.676370374422</v>
      </c>
    </row>
    <row r="748" spans="11:11" x14ac:dyDescent="0.45">
      <c r="K748">
        <v>75740.682620366497</v>
      </c>
    </row>
    <row r="749" spans="11:11" x14ac:dyDescent="0.45">
      <c r="K749">
        <v>54974.065274041888</v>
      </c>
    </row>
    <row r="750" spans="11:11" x14ac:dyDescent="0.45">
      <c r="K750">
        <v>76637.996182139934</v>
      </c>
    </row>
    <row r="751" spans="11:11" x14ac:dyDescent="0.45">
      <c r="K751">
        <v>76671.436655511774</v>
      </c>
    </row>
    <row r="752" spans="11:11" x14ac:dyDescent="0.45">
      <c r="K752">
        <v>67132.712469389749</v>
      </c>
    </row>
    <row r="753" spans="11:11" x14ac:dyDescent="0.45">
      <c r="K753">
        <v>65076.210429894709</v>
      </c>
    </row>
    <row r="754" spans="11:11" x14ac:dyDescent="0.45">
      <c r="K754">
        <v>67001.693589527087</v>
      </c>
    </row>
    <row r="755" spans="11:11" x14ac:dyDescent="0.45">
      <c r="K755">
        <v>78424.726722354186</v>
      </c>
    </row>
    <row r="756" spans="11:11" x14ac:dyDescent="0.45">
      <c r="K756">
        <v>80957.672146280747</v>
      </c>
    </row>
    <row r="757" spans="11:11" x14ac:dyDescent="0.45">
      <c r="K757">
        <v>50628.028636096846</v>
      </c>
    </row>
    <row r="758" spans="11:11" x14ac:dyDescent="0.45">
      <c r="K758">
        <v>54958.098819004401</v>
      </c>
    </row>
    <row r="759" spans="11:11" x14ac:dyDescent="0.45">
      <c r="K759">
        <v>82908.156518209842</v>
      </c>
    </row>
    <row r="760" spans="11:11" x14ac:dyDescent="0.45">
      <c r="K760">
        <v>55919.584515933399</v>
      </c>
    </row>
    <row r="761" spans="11:11" x14ac:dyDescent="0.45">
      <c r="K761">
        <v>63287.04292483312</v>
      </c>
    </row>
    <row r="762" spans="11:11" x14ac:dyDescent="0.45">
      <c r="K762">
        <v>64517.668322894489</v>
      </c>
    </row>
    <row r="763" spans="11:11" x14ac:dyDescent="0.45">
      <c r="K763">
        <v>76681.306465932154</v>
      </c>
    </row>
    <row r="764" spans="11:11" x14ac:dyDescent="0.45">
      <c r="K764">
        <v>54303.261265755544</v>
      </c>
    </row>
    <row r="765" spans="11:11" x14ac:dyDescent="0.45">
      <c r="K765">
        <v>71883.744169951504</v>
      </c>
    </row>
    <row r="766" spans="11:11" x14ac:dyDescent="0.45">
      <c r="K766">
        <v>93038.94829388769</v>
      </c>
    </row>
    <row r="767" spans="11:11" x14ac:dyDescent="0.45">
      <c r="K767">
        <v>60845.960654029819</v>
      </c>
    </row>
    <row r="768" spans="11:11" x14ac:dyDescent="0.45">
      <c r="K768">
        <v>61547.655602483341</v>
      </c>
    </row>
    <row r="769" spans="11:11" x14ac:dyDescent="0.45">
      <c r="K769">
        <v>61915.118080508291</v>
      </c>
    </row>
    <row r="770" spans="11:11" x14ac:dyDescent="0.45">
      <c r="K770">
        <v>69110.930066763263</v>
      </c>
    </row>
    <row r="771" spans="11:11" x14ac:dyDescent="0.45">
      <c r="K771">
        <v>51268.851548262726</v>
      </c>
    </row>
    <row r="772" spans="11:11" x14ac:dyDescent="0.45">
      <c r="K772">
        <v>66959.795145880562</v>
      </c>
    </row>
    <row r="773" spans="11:11" x14ac:dyDescent="0.45">
      <c r="K773">
        <v>77028.567636594336</v>
      </c>
    </row>
    <row r="774" spans="11:11" x14ac:dyDescent="0.45">
      <c r="K774">
        <v>50517.535980291301</v>
      </c>
    </row>
    <row r="775" spans="11:11" x14ac:dyDescent="0.45">
      <c r="K775">
        <v>67007.428433973051</v>
      </c>
    </row>
    <row r="776" spans="11:11" x14ac:dyDescent="0.45">
      <c r="K776">
        <v>74879.393435804333</v>
      </c>
    </row>
    <row r="777" spans="11:11" x14ac:dyDescent="0.45">
      <c r="K777">
        <v>84823.795227448893</v>
      </c>
    </row>
    <row r="778" spans="11:11" x14ac:dyDescent="0.45">
      <c r="K778">
        <v>64172.453935614358</v>
      </c>
    </row>
    <row r="779" spans="11:11" x14ac:dyDescent="0.45">
      <c r="K779">
        <v>47309.243225975471</v>
      </c>
    </row>
    <row r="780" spans="11:11" x14ac:dyDescent="0.45">
      <c r="K780">
        <v>43435.087208740515</v>
      </c>
    </row>
    <row r="781" spans="11:11" x14ac:dyDescent="0.45">
      <c r="K781">
        <v>57525.382676568734</v>
      </c>
    </row>
    <row r="782" spans="11:11" x14ac:dyDescent="0.45">
      <c r="K782">
        <v>75270.6503855591</v>
      </c>
    </row>
    <row r="783" spans="11:11" x14ac:dyDescent="0.45">
      <c r="K783">
        <v>80406.097714125877</v>
      </c>
    </row>
    <row r="784" spans="11:11" x14ac:dyDescent="0.45">
      <c r="K784">
        <v>62204.056267283777</v>
      </c>
    </row>
    <row r="785" spans="11:11" x14ac:dyDescent="0.45">
      <c r="K785">
        <v>86825.921581793431</v>
      </c>
    </row>
    <row r="786" spans="11:11" x14ac:dyDescent="0.45">
      <c r="K786">
        <v>76484.57593592492</v>
      </c>
    </row>
    <row r="787" spans="11:11" x14ac:dyDescent="0.45">
      <c r="K787">
        <v>69824.949496199057</v>
      </c>
    </row>
    <row r="788" spans="11:11" x14ac:dyDescent="0.45">
      <c r="K788">
        <v>60407.637308059173</v>
      </c>
    </row>
    <row r="789" spans="11:11" x14ac:dyDescent="0.45">
      <c r="K789">
        <v>93142.230107130134</v>
      </c>
    </row>
    <row r="790" spans="11:11" x14ac:dyDescent="0.45">
      <c r="K790">
        <v>51592.304803549414</v>
      </c>
    </row>
    <row r="791" spans="11:11" x14ac:dyDescent="0.45">
      <c r="K791">
        <v>72281.493624020164</v>
      </c>
    </row>
    <row r="792" spans="11:11" x14ac:dyDescent="0.45">
      <c r="K792">
        <v>73216.148935367659</v>
      </c>
    </row>
    <row r="793" spans="11:11" x14ac:dyDescent="0.45">
      <c r="K793">
        <v>57714.753066582103</v>
      </c>
    </row>
    <row r="794" spans="11:11" x14ac:dyDescent="0.45">
      <c r="K794">
        <v>79218.148702547362</v>
      </c>
    </row>
    <row r="795" spans="11:11" x14ac:dyDescent="0.45">
      <c r="K795">
        <v>63769.081221684122</v>
      </c>
    </row>
    <row r="796" spans="11:11" x14ac:dyDescent="0.45">
      <c r="K796">
        <v>85280.743015543339</v>
      </c>
    </row>
    <row r="797" spans="11:11" x14ac:dyDescent="0.45">
      <c r="K797">
        <v>54387.857308560109</v>
      </c>
    </row>
    <row r="798" spans="11:11" x14ac:dyDescent="0.45">
      <c r="K798">
        <v>38453.43166905026</v>
      </c>
    </row>
    <row r="799" spans="11:11" x14ac:dyDescent="0.45">
      <c r="K799">
        <v>70610.518647066026</v>
      </c>
    </row>
    <row r="800" spans="11:11" x14ac:dyDescent="0.45">
      <c r="K800">
        <v>82701.88462963936</v>
      </c>
    </row>
    <row r="801" spans="11:11" x14ac:dyDescent="0.45">
      <c r="K801">
        <v>44358.756035197031</v>
      </c>
    </row>
    <row r="802" spans="11:11" x14ac:dyDescent="0.45">
      <c r="K802">
        <v>60882.778063176069</v>
      </c>
    </row>
    <row r="803" spans="11:11" x14ac:dyDescent="0.45">
      <c r="K803">
        <v>61785.611244443237</v>
      </c>
    </row>
    <row r="804" spans="11:11" x14ac:dyDescent="0.45">
      <c r="K804">
        <v>78148.348427595862</v>
      </c>
    </row>
    <row r="805" spans="11:11" x14ac:dyDescent="0.45">
      <c r="K805">
        <v>67861.434063947658</v>
      </c>
    </row>
    <row r="806" spans="11:11" x14ac:dyDescent="0.45">
      <c r="K806">
        <v>56145.975107833896</v>
      </c>
    </row>
    <row r="807" spans="11:11" x14ac:dyDescent="0.45">
      <c r="K807">
        <v>68710.002012006371</v>
      </c>
    </row>
    <row r="808" spans="11:11" x14ac:dyDescent="0.45">
      <c r="K808">
        <v>57709.586802141239</v>
      </c>
    </row>
    <row r="809" spans="11:11" x14ac:dyDescent="0.45">
      <c r="K809">
        <v>59346.408781579652</v>
      </c>
    </row>
    <row r="810" spans="11:11" x14ac:dyDescent="0.45">
      <c r="K810">
        <v>73925.576022491106</v>
      </c>
    </row>
    <row r="811" spans="11:11" x14ac:dyDescent="0.45">
      <c r="K811">
        <v>76020.812788784198</v>
      </c>
    </row>
    <row r="812" spans="11:11" x14ac:dyDescent="0.45">
      <c r="K812">
        <v>81080.188620807967</v>
      </c>
    </row>
    <row r="813" spans="11:11" x14ac:dyDescent="0.45">
      <c r="K813">
        <v>62551.742952542299</v>
      </c>
    </row>
    <row r="814" spans="11:11" x14ac:dyDescent="0.45">
      <c r="K814">
        <v>57697.13398407463</v>
      </c>
    </row>
    <row r="815" spans="11:11" x14ac:dyDescent="0.45">
      <c r="K815">
        <v>82790.809053373727</v>
      </c>
    </row>
    <row r="816" spans="11:11" x14ac:dyDescent="0.45">
      <c r="K816">
        <v>75835.892442389973</v>
      </c>
    </row>
    <row r="817" spans="11:11" x14ac:dyDescent="0.45">
      <c r="K817">
        <v>69725.095497920716</v>
      </c>
    </row>
    <row r="818" spans="11:11" x14ac:dyDescent="0.45">
      <c r="K818">
        <v>79943.106682828002</v>
      </c>
    </row>
    <row r="819" spans="11:11" x14ac:dyDescent="0.45">
      <c r="K819">
        <v>75967.268987292598</v>
      </c>
    </row>
    <row r="820" spans="11:11" x14ac:dyDescent="0.45">
      <c r="K820">
        <v>53416.463269614309</v>
      </c>
    </row>
    <row r="821" spans="11:11" x14ac:dyDescent="0.45">
      <c r="K821">
        <v>80895.890105296741</v>
      </c>
    </row>
    <row r="822" spans="11:11" x14ac:dyDescent="0.45">
      <c r="K822">
        <v>72282.653249650728</v>
      </c>
    </row>
    <row r="823" spans="11:11" x14ac:dyDescent="0.45">
      <c r="K823">
        <v>78914.047037229931</v>
      </c>
    </row>
    <row r="824" spans="11:11" x14ac:dyDescent="0.45">
      <c r="K824">
        <v>68062.525613728052</v>
      </c>
    </row>
    <row r="825" spans="11:11" x14ac:dyDescent="0.45">
      <c r="K825">
        <v>63358.889731192961</v>
      </c>
    </row>
    <row r="826" spans="11:11" x14ac:dyDescent="0.45">
      <c r="K826">
        <v>51570.58948072113</v>
      </c>
    </row>
    <row r="827" spans="11:11" x14ac:dyDescent="0.45">
      <c r="K827">
        <v>65967.034634927448</v>
      </c>
    </row>
    <row r="828" spans="11:11" x14ac:dyDescent="0.45">
      <c r="K828">
        <v>50751.191103085228</v>
      </c>
    </row>
    <row r="829" spans="11:11" x14ac:dyDescent="0.45">
      <c r="K829">
        <v>59329.886603214174</v>
      </c>
    </row>
    <row r="830" spans="11:11" x14ac:dyDescent="0.45">
      <c r="K830">
        <v>67670.554920310475</v>
      </c>
    </row>
    <row r="831" spans="11:11" x14ac:dyDescent="0.45">
      <c r="K831">
        <v>83085.354315826815</v>
      </c>
    </row>
    <row r="832" spans="11:11" x14ac:dyDescent="0.45">
      <c r="K832">
        <v>84507.643995974053</v>
      </c>
    </row>
    <row r="833" spans="11:11" x14ac:dyDescent="0.45">
      <c r="K833">
        <v>62742.693321496052</v>
      </c>
    </row>
    <row r="834" spans="11:11" x14ac:dyDescent="0.45">
      <c r="K834">
        <v>51542.077377865935</v>
      </c>
    </row>
    <row r="835" spans="11:11" x14ac:dyDescent="0.45">
      <c r="K835">
        <v>75007.360377990059</v>
      </c>
    </row>
    <row r="836" spans="11:11" x14ac:dyDescent="0.45">
      <c r="K836">
        <v>67670.946513598305</v>
      </c>
    </row>
    <row r="837" spans="11:11" x14ac:dyDescent="0.45">
      <c r="K837">
        <v>79881.181754491336</v>
      </c>
    </row>
    <row r="838" spans="11:11" x14ac:dyDescent="0.45">
      <c r="K838">
        <v>70779.182103104336</v>
      </c>
    </row>
    <row r="839" spans="11:11" x14ac:dyDescent="0.45">
      <c r="K839">
        <v>62989.658716140591</v>
      </c>
    </row>
    <row r="840" spans="11:11" x14ac:dyDescent="0.45">
      <c r="K840">
        <v>80674.070678293792</v>
      </c>
    </row>
    <row r="841" spans="11:11" x14ac:dyDescent="0.45">
      <c r="K841">
        <v>64292.590265674466</v>
      </c>
    </row>
    <row r="842" spans="11:11" x14ac:dyDescent="0.45">
      <c r="K842">
        <v>74349.029543042911</v>
      </c>
    </row>
    <row r="843" spans="11:11" x14ac:dyDescent="0.45">
      <c r="K843">
        <v>71710.127891358236</v>
      </c>
    </row>
    <row r="844" spans="11:11" x14ac:dyDescent="0.45">
      <c r="K844">
        <v>65805.62796490168</v>
      </c>
    </row>
    <row r="845" spans="11:11" x14ac:dyDescent="0.45">
      <c r="K845">
        <v>94120.798548584949</v>
      </c>
    </row>
    <row r="846" spans="11:11" x14ac:dyDescent="0.45">
      <c r="K846">
        <v>66653.787813213596</v>
      </c>
    </row>
    <row r="847" spans="11:11" x14ac:dyDescent="0.45">
      <c r="K847">
        <v>79344.808907755578</v>
      </c>
    </row>
    <row r="848" spans="11:11" x14ac:dyDescent="0.45">
      <c r="K848">
        <v>41479.692254719266</v>
      </c>
    </row>
    <row r="849" spans="11:11" x14ac:dyDescent="0.45">
      <c r="K849">
        <v>76877.53941115801</v>
      </c>
    </row>
    <row r="850" spans="11:11" x14ac:dyDescent="0.45">
      <c r="K850">
        <v>78091.068287497692</v>
      </c>
    </row>
    <row r="851" spans="11:11" x14ac:dyDescent="0.45">
      <c r="K851">
        <v>78473.220016049425</v>
      </c>
    </row>
    <row r="852" spans="11:11" x14ac:dyDescent="0.45">
      <c r="K852">
        <v>100088.34769603067</v>
      </c>
    </row>
    <row r="853" spans="11:11" x14ac:dyDescent="0.45">
      <c r="K853">
        <v>58910.839516586144</v>
      </c>
    </row>
    <row r="854" spans="11:11" x14ac:dyDescent="0.45">
      <c r="K854">
        <v>67492.980631865095</v>
      </c>
    </row>
    <row r="855" spans="11:11" x14ac:dyDescent="0.45">
      <c r="K855">
        <v>77501.909607753551</v>
      </c>
    </row>
    <row r="856" spans="11:11" x14ac:dyDescent="0.45">
      <c r="K856">
        <v>75954.805126124425</v>
      </c>
    </row>
    <row r="857" spans="11:11" x14ac:dyDescent="0.45">
      <c r="K857">
        <v>74288.65393421214</v>
      </c>
    </row>
    <row r="858" spans="11:11" x14ac:dyDescent="0.45">
      <c r="K858">
        <v>70619.747235036368</v>
      </c>
    </row>
    <row r="859" spans="11:11" x14ac:dyDescent="0.45">
      <c r="K859">
        <v>88489.677998062049</v>
      </c>
    </row>
    <row r="860" spans="11:11" x14ac:dyDescent="0.45">
      <c r="K860">
        <v>77187.62571616155</v>
      </c>
    </row>
    <row r="861" spans="11:11" x14ac:dyDescent="0.45">
      <c r="K861">
        <v>69128.261266651985</v>
      </c>
    </row>
    <row r="862" spans="11:11" x14ac:dyDescent="0.45">
      <c r="K862">
        <v>72433.301326837245</v>
      </c>
    </row>
    <row r="863" spans="11:11" x14ac:dyDescent="0.45">
      <c r="K863">
        <v>81809.360561003996</v>
      </c>
    </row>
    <row r="864" spans="11:11" x14ac:dyDescent="0.45">
      <c r="K864">
        <v>69319.107957756394</v>
      </c>
    </row>
    <row r="865" spans="11:11" x14ac:dyDescent="0.45">
      <c r="K865">
        <v>68627.024684981967</v>
      </c>
    </row>
    <row r="866" spans="11:11" x14ac:dyDescent="0.45">
      <c r="K866">
        <v>64924.868218114563</v>
      </c>
    </row>
    <row r="867" spans="11:11" x14ac:dyDescent="0.45">
      <c r="K867">
        <v>72289.356603023567</v>
      </c>
    </row>
    <row r="868" spans="11:11" x14ac:dyDescent="0.45">
      <c r="K868">
        <v>57033.872231117348</v>
      </c>
    </row>
    <row r="869" spans="11:11" x14ac:dyDescent="0.45">
      <c r="K869">
        <v>71505.597666103116</v>
      </c>
    </row>
    <row r="870" spans="11:11" x14ac:dyDescent="0.45">
      <c r="K870">
        <v>58221.854782185786</v>
      </c>
    </row>
    <row r="871" spans="11:11" x14ac:dyDescent="0.45">
      <c r="K871">
        <v>65108.589439116426</v>
      </c>
    </row>
    <row r="872" spans="11:11" x14ac:dyDescent="0.45">
      <c r="K872">
        <v>71450.030178380563</v>
      </c>
    </row>
    <row r="873" spans="11:11" x14ac:dyDescent="0.45">
      <c r="K873">
        <v>75541.070813829007</v>
      </c>
    </row>
    <row r="874" spans="11:11" x14ac:dyDescent="0.45">
      <c r="K874">
        <v>48141.925706662718</v>
      </c>
    </row>
    <row r="875" spans="11:11" x14ac:dyDescent="0.45">
      <c r="K875">
        <v>74596.478371315752</v>
      </c>
    </row>
    <row r="876" spans="11:11" x14ac:dyDescent="0.45">
      <c r="K876">
        <v>63029.070673488648</v>
      </c>
    </row>
    <row r="877" spans="11:11" x14ac:dyDescent="0.45">
      <c r="K877">
        <v>67569.765946423344</v>
      </c>
    </row>
    <row r="878" spans="11:11" x14ac:dyDescent="0.45">
      <c r="K878">
        <v>76168.41144715024</v>
      </c>
    </row>
    <row r="879" spans="11:11" x14ac:dyDescent="0.45">
      <c r="K879">
        <v>93884.546251775901</v>
      </c>
    </row>
    <row r="880" spans="11:11" x14ac:dyDescent="0.45">
      <c r="K880">
        <v>57973.510928747193</v>
      </c>
    </row>
    <row r="881" spans="11:11" x14ac:dyDescent="0.45">
      <c r="K881">
        <v>83328.870115623606</v>
      </c>
    </row>
    <row r="882" spans="11:11" x14ac:dyDescent="0.45">
      <c r="K882">
        <v>59946.21577590426</v>
      </c>
    </row>
    <row r="883" spans="11:11" x14ac:dyDescent="0.45">
      <c r="K883">
        <v>66547.91087730568</v>
      </c>
    </row>
    <row r="884" spans="11:11" x14ac:dyDescent="0.45">
      <c r="K884">
        <v>53733.493966866292</v>
      </c>
    </row>
    <row r="885" spans="11:11" x14ac:dyDescent="0.45">
      <c r="K885">
        <v>86094.737801463489</v>
      </c>
    </row>
    <row r="886" spans="11:11" x14ac:dyDescent="0.45">
      <c r="K886">
        <v>74531.346177382322</v>
      </c>
    </row>
    <row r="887" spans="11:11" x14ac:dyDescent="0.45">
      <c r="K887">
        <v>83469.260162915103</v>
      </c>
    </row>
    <row r="888" spans="11:11" x14ac:dyDescent="0.45">
      <c r="K888">
        <v>73246.969839678248</v>
      </c>
    </row>
    <row r="889" spans="11:11" x14ac:dyDescent="0.45">
      <c r="K889">
        <v>65392.325524365369</v>
      </c>
    </row>
    <row r="890" spans="11:11" x14ac:dyDescent="0.45">
      <c r="K890">
        <v>51552.120796868301</v>
      </c>
    </row>
    <row r="891" spans="11:11" x14ac:dyDescent="0.45">
      <c r="K891">
        <v>52903.271570763274</v>
      </c>
    </row>
    <row r="892" spans="11:11" x14ac:dyDescent="0.45">
      <c r="K892">
        <v>81223.069152194847</v>
      </c>
    </row>
    <row r="893" spans="11:11" x14ac:dyDescent="0.45">
      <c r="K893">
        <v>81054.069114431797</v>
      </c>
    </row>
    <row r="894" spans="11:11" x14ac:dyDescent="0.45">
      <c r="K894">
        <v>79906.52105467912</v>
      </c>
    </row>
    <row r="895" spans="11:11" x14ac:dyDescent="0.45">
      <c r="K895">
        <v>52648.711803605554</v>
      </c>
    </row>
    <row r="896" spans="11:11" x14ac:dyDescent="0.45">
      <c r="K896">
        <v>59319.884420931077</v>
      </c>
    </row>
    <row r="897" spans="11:11" x14ac:dyDescent="0.45">
      <c r="K897">
        <v>54181.200722164867</v>
      </c>
    </row>
    <row r="898" spans="11:11" x14ac:dyDescent="0.45">
      <c r="K898">
        <v>76578.341912307325</v>
      </c>
    </row>
    <row r="899" spans="11:11" x14ac:dyDescent="0.45">
      <c r="K899">
        <v>64608.990576331962</v>
      </c>
    </row>
    <row r="900" spans="11:11" x14ac:dyDescent="0.45">
      <c r="K900">
        <v>57676.14333577903</v>
      </c>
    </row>
    <row r="901" spans="11:11" x14ac:dyDescent="0.45">
      <c r="K901">
        <v>67020.746249316857</v>
      </c>
    </row>
    <row r="902" spans="11:11" x14ac:dyDescent="0.45">
      <c r="K902">
        <v>59358.006436578406</v>
      </c>
    </row>
    <row r="903" spans="11:11" x14ac:dyDescent="0.45">
      <c r="K903">
        <v>72463.532240335713</v>
      </c>
    </row>
    <row r="904" spans="11:11" x14ac:dyDescent="0.45">
      <c r="K904">
        <v>86176.363728969009</v>
      </c>
    </row>
    <row r="905" spans="11:11" x14ac:dyDescent="0.45">
      <c r="K905">
        <v>62907.646352307915</v>
      </c>
    </row>
    <row r="906" spans="11:11" x14ac:dyDescent="0.45">
      <c r="K906">
        <v>85130.931283740167</v>
      </c>
    </row>
    <row r="907" spans="11:11" x14ac:dyDescent="0.45">
      <c r="K907">
        <v>55367.138490841011</v>
      </c>
    </row>
    <row r="908" spans="11:11" x14ac:dyDescent="0.45">
      <c r="K908">
        <v>60773.71848284173</v>
      </c>
    </row>
    <row r="909" spans="11:11" x14ac:dyDescent="0.45">
      <c r="K909">
        <v>54364.366099974184</v>
      </c>
    </row>
    <row r="910" spans="11:11" x14ac:dyDescent="0.45">
      <c r="K910">
        <v>52334.629109608431</v>
      </c>
    </row>
    <row r="911" spans="11:11" x14ac:dyDescent="0.45">
      <c r="K911">
        <v>79974.953682106046</v>
      </c>
    </row>
    <row r="912" spans="11:11" x14ac:dyDescent="0.45">
      <c r="K912">
        <v>57598.850368664811</v>
      </c>
    </row>
    <row r="913" spans="11:11" x14ac:dyDescent="0.45">
      <c r="K913">
        <v>71048.161972264323</v>
      </c>
    </row>
    <row r="914" spans="11:11" x14ac:dyDescent="0.45">
      <c r="K914">
        <v>82345.676234193641</v>
      </c>
    </row>
    <row r="915" spans="11:11" x14ac:dyDescent="0.45">
      <c r="K915">
        <v>57618.276867924986</v>
      </c>
    </row>
    <row r="916" spans="11:11" x14ac:dyDescent="0.45">
      <c r="K916">
        <v>65970.607510867179</v>
      </c>
    </row>
    <row r="917" spans="11:11" x14ac:dyDescent="0.45">
      <c r="K917">
        <v>61445.985251754784</v>
      </c>
    </row>
    <row r="918" spans="11:11" x14ac:dyDescent="0.45">
      <c r="K918">
        <v>65027.569335379259</v>
      </c>
    </row>
    <row r="919" spans="11:11" x14ac:dyDescent="0.45">
      <c r="K919">
        <v>84983.215746377755</v>
      </c>
    </row>
    <row r="920" spans="11:11" x14ac:dyDescent="0.45">
      <c r="K920">
        <v>73227.699895012731</v>
      </c>
    </row>
    <row r="921" spans="11:11" x14ac:dyDescent="0.45">
      <c r="K921">
        <v>76745.352739754453</v>
      </c>
    </row>
    <row r="922" spans="11:11" x14ac:dyDescent="0.45">
      <c r="K922">
        <v>65966.927587316037</v>
      </c>
    </row>
    <row r="923" spans="11:11" x14ac:dyDescent="0.45">
      <c r="K923">
        <v>79396.588056888373</v>
      </c>
    </row>
    <row r="924" spans="11:11" x14ac:dyDescent="0.45">
      <c r="K924">
        <v>67460.840474041775</v>
      </c>
    </row>
    <row r="925" spans="11:11" x14ac:dyDescent="0.45">
      <c r="K925">
        <v>53280.125543232483</v>
      </c>
    </row>
    <row r="926" spans="11:11" x14ac:dyDescent="0.45">
      <c r="K926">
        <v>50788.009168244855</v>
      </c>
    </row>
    <row r="927" spans="11:11" x14ac:dyDescent="0.45">
      <c r="K927">
        <v>76929.230977279323</v>
      </c>
    </row>
    <row r="928" spans="11:11" x14ac:dyDescent="0.45">
      <c r="K928">
        <v>73578.89106214339</v>
      </c>
    </row>
    <row r="929" spans="11:11" x14ac:dyDescent="0.45">
      <c r="K929">
        <v>58820.393702456211</v>
      </c>
    </row>
    <row r="930" spans="11:11" x14ac:dyDescent="0.45">
      <c r="K930">
        <v>83220.051297672137</v>
      </c>
    </row>
    <row r="931" spans="11:11" x14ac:dyDescent="0.45">
      <c r="K931">
        <v>75508.852669502594</v>
      </c>
    </row>
    <row r="932" spans="11:11" x14ac:dyDescent="0.45">
      <c r="K932">
        <v>55689.529961394917</v>
      </c>
    </row>
    <row r="933" spans="11:11" x14ac:dyDescent="0.45">
      <c r="K933">
        <v>72629.662095735985</v>
      </c>
    </row>
    <row r="934" spans="11:11" x14ac:dyDescent="0.45">
      <c r="K934">
        <v>84467.407980430216</v>
      </c>
    </row>
    <row r="935" spans="11:11" x14ac:dyDescent="0.45">
      <c r="K935">
        <v>61007.210028519046</v>
      </c>
    </row>
    <row r="936" spans="11:11" x14ac:dyDescent="0.45">
      <c r="K936">
        <v>48652.279387677379</v>
      </c>
    </row>
    <row r="937" spans="11:11" x14ac:dyDescent="0.45">
      <c r="K937">
        <v>51582.894162906639</v>
      </c>
    </row>
    <row r="938" spans="11:11" x14ac:dyDescent="0.45">
      <c r="K938">
        <v>81292.778335995943</v>
      </c>
    </row>
    <row r="939" spans="11:11" x14ac:dyDescent="0.45">
      <c r="K939">
        <v>79202.953373819619</v>
      </c>
    </row>
    <row r="940" spans="11:11" x14ac:dyDescent="0.45">
      <c r="K940">
        <v>57260.380000664285</v>
      </c>
    </row>
    <row r="941" spans="11:11" x14ac:dyDescent="0.45">
      <c r="K941">
        <v>69168.946614997505</v>
      </c>
    </row>
    <row r="942" spans="11:11" x14ac:dyDescent="0.45">
      <c r="K942">
        <v>85170.943444258242</v>
      </c>
    </row>
    <row r="943" spans="11:11" x14ac:dyDescent="0.45">
      <c r="K943">
        <v>67222.640658183533</v>
      </c>
    </row>
    <row r="944" spans="11:11" x14ac:dyDescent="0.45">
      <c r="K944">
        <v>63824.900945408561</v>
      </c>
    </row>
    <row r="945" spans="11:11" x14ac:dyDescent="0.45">
      <c r="K945">
        <v>71465.667284301409</v>
      </c>
    </row>
    <row r="946" spans="11:11" x14ac:dyDescent="0.45">
      <c r="K946">
        <v>64662.670005890199</v>
      </c>
    </row>
    <row r="947" spans="11:11" x14ac:dyDescent="0.45">
      <c r="K947">
        <v>64943.916536666868</v>
      </c>
    </row>
    <row r="948" spans="11:11" x14ac:dyDescent="0.45">
      <c r="K948">
        <v>68336.941301094601</v>
      </c>
    </row>
    <row r="949" spans="11:11" x14ac:dyDescent="0.45">
      <c r="K949">
        <v>65354.954061419659</v>
      </c>
    </row>
    <row r="950" spans="11:11" x14ac:dyDescent="0.45">
      <c r="K950">
        <v>64731.068728334438</v>
      </c>
    </row>
    <row r="951" spans="11:11" x14ac:dyDescent="0.45">
      <c r="K951">
        <v>73439.895511366514</v>
      </c>
    </row>
    <row r="952" spans="11:11" x14ac:dyDescent="0.45">
      <c r="K952">
        <v>60617.582079696236</v>
      </c>
    </row>
    <row r="953" spans="11:11" x14ac:dyDescent="0.45">
      <c r="K953">
        <v>88173.946996832936</v>
      </c>
    </row>
    <row r="954" spans="11:11" x14ac:dyDescent="0.45">
      <c r="K954">
        <v>60558.166910491411</v>
      </c>
    </row>
    <row r="955" spans="11:11" x14ac:dyDescent="0.45">
      <c r="K955">
        <v>70318.087142580989</v>
      </c>
    </row>
    <row r="956" spans="11:11" x14ac:dyDescent="0.45">
      <c r="K956">
        <v>86670.863671953557</v>
      </c>
    </row>
    <row r="957" spans="11:11" x14ac:dyDescent="0.45">
      <c r="K957">
        <v>73678.91124219996</v>
      </c>
    </row>
    <row r="958" spans="11:11" x14ac:dyDescent="0.45">
      <c r="K958">
        <v>61297.076903010071</v>
      </c>
    </row>
    <row r="959" spans="11:11" x14ac:dyDescent="0.45">
      <c r="K959">
        <v>81544.345344691275</v>
      </c>
    </row>
    <row r="960" spans="11:11" x14ac:dyDescent="0.45">
      <c r="K960">
        <v>66041.394081713734</v>
      </c>
    </row>
    <row r="961" spans="11:11" x14ac:dyDescent="0.45">
      <c r="K961">
        <v>77498.99740211133</v>
      </c>
    </row>
    <row r="962" spans="11:11" x14ac:dyDescent="0.45">
      <c r="K962">
        <v>78514.169307436474</v>
      </c>
    </row>
    <row r="963" spans="11:11" x14ac:dyDescent="0.45">
      <c r="K963">
        <v>78502.987881096662</v>
      </c>
    </row>
    <row r="964" spans="11:11" x14ac:dyDescent="0.45">
      <c r="K964">
        <v>67124.624541401383</v>
      </c>
    </row>
    <row r="965" spans="11:11" x14ac:dyDescent="0.45">
      <c r="K965">
        <v>62005.988449002361</v>
      </c>
    </row>
    <row r="966" spans="11:11" x14ac:dyDescent="0.45">
      <c r="K966">
        <v>85822.741701645777</v>
      </c>
    </row>
    <row r="967" spans="11:11" x14ac:dyDescent="0.45">
      <c r="K967">
        <v>67801.036061186256</v>
      </c>
    </row>
    <row r="968" spans="11:11" x14ac:dyDescent="0.45">
      <c r="K968">
        <v>44026.534548153162</v>
      </c>
    </row>
    <row r="969" spans="11:11" x14ac:dyDescent="0.45">
      <c r="K969">
        <v>67691.102084837388</v>
      </c>
    </row>
    <row r="970" spans="11:11" x14ac:dyDescent="0.45">
      <c r="K970">
        <v>41725.201843109135</v>
      </c>
    </row>
    <row r="971" spans="11:11" x14ac:dyDescent="0.45">
      <c r="K971">
        <v>56690.812665569996</v>
      </c>
    </row>
    <row r="972" spans="11:11" x14ac:dyDescent="0.45">
      <c r="K972">
        <v>57406.165464694102</v>
      </c>
    </row>
    <row r="973" spans="11:11" x14ac:dyDescent="0.45">
      <c r="K973">
        <v>55474.284019342958</v>
      </c>
    </row>
    <row r="974" spans="11:11" x14ac:dyDescent="0.45">
      <c r="K974">
        <v>59876.604457723457</v>
      </c>
    </row>
    <row r="975" spans="11:11" x14ac:dyDescent="0.45">
      <c r="K975">
        <v>66537.902223042969</v>
      </c>
    </row>
    <row r="976" spans="11:11" x14ac:dyDescent="0.45">
      <c r="K976">
        <v>71683.927668498844</v>
      </c>
    </row>
    <row r="977" spans="11:11" x14ac:dyDescent="0.45">
      <c r="K977">
        <v>59863.540486724844</v>
      </c>
    </row>
    <row r="978" spans="11:11" x14ac:dyDescent="0.45">
      <c r="K978">
        <v>69987.665980273261</v>
      </c>
    </row>
    <row r="979" spans="11:11" x14ac:dyDescent="0.45">
      <c r="K979">
        <v>67807.416509977746</v>
      </c>
    </row>
    <row r="980" spans="11:11" x14ac:dyDescent="0.45">
      <c r="K980">
        <v>65735.565103390269</v>
      </c>
    </row>
    <row r="981" spans="11:11" x14ac:dyDescent="0.45">
      <c r="K981">
        <v>79144.038765380581</v>
      </c>
    </row>
    <row r="982" spans="11:11" x14ac:dyDescent="0.45">
      <c r="K982">
        <v>87675.958429056613</v>
      </c>
    </row>
    <row r="983" spans="11:11" x14ac:dyDescent="0.45">
      <c r="K983">
        <v>63017.135674686739</v>
      </c>
    </row>
    <row r="984" spans="11:11" x14ac:dyDescent="0.45">
      <c r="K984">
        <v>67665.347304674026</v>
      </c>
    </row>
    <row r="985" spans="11:11" x14ac:dyDescent="0.45">
      <c r="K985">
        <v>55992.010564272226</v>
      </c>
    </row>
    <row r="986" spans="11:11" x14ac:dyDescent="0.45">
      <c r="K986">
        <v>48685.955252367028</v>
      </c>
    </row>
    <row r="987" spans="11:11" x14ac:dyDescent="0.45">
      <c r="K987">
        <v>60655.024300270758</v>
      </c>
    </row>
    <row r="988" spans="11:11" x14ac:dyDescent="0.45">
      <c r="K988">
        <v>69984.052338811132</v>
      </c>
    </row>
    <row r="989" spans="11:11" x14ac:dyDescent="0.45">
      <c r="K989">
        <v>77538.555452563247</v>
      </c>
    </row>
    <row r="990" spans="11:11" x14ac:dyDescent="0.45">
      <c r="K990">
        <v>72742.221546356115</v>
      </c>
    </row>
    <row r="991" spans="11:11" x14ac:dyDescent="0.45">
      <c r="K991">
        <v>64387.593306892129</v>
      </c>
    </row>
    <row r="992" spans="11:11" x14ac:dyDescent="0.45">
      <c r="K992">
        <v>58707.650291404505</v>
      </c>
    </row>
    <row r="993" spans="11:11" x14ac:dyDescent="0.45">
      <c r="K993">
        <v>73432.258161479171</v>
      </c>
    </row>
    <row r="994" spans="11:11" x14ac:dyDescent="0.45">
      <c r="K994">
        <v>38465.562424838485</v>
      </c>
    </row>
    <row r="995" spans="11:11" x14ac:dyDescent="0.45">
      <c r="K995">
        <v>71329.600289533439</v>
      </c>
    </row>
    <row r="996" spans="11:11" x14ac:dyDescent="0.45">
      <c r="K996">
        <v>73003.229658840981</v>
      </c>
    </row>
    <row r="997" spans="11:11" x14ac:dyDescent="0.45">
      <c r="K997">
        <v>56196.463555189221</v>
      </c>
    </row>
    <row r="998" spans="11:11" x14ac:dyDescent="0.45">
      <c r="K998">
        <v>61666.576986652399</v>
      </c>
    </row>
    <row r="999" spans="11:11" x14ac:dyDescent="0.45">
      <c r="K999">
        <v>83551.289244668864</v>
      </c>
    </row>
    <row r="1000" spans="11:11" x14ac:dyDescent="0.45">
      <c r="K1000">
        <v>64905.876762027103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4A09-CAB4-4354-A5FE-D79AED239FA8}">
  <sheetPr codeName="Sheet4"/>
  <dimension ref="A1:Q1000"/>
  <sheetViews>
    <sheetView workbookViewId="0"/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32134.697911872619</v>
      </c>
      <c r="M1" s="1">
        <f>AVERAGE(K1:K10000)</f>
        <v>32137.165604448455</v>
      </c>
    </row>
    <row r="2" spans="1:17" x14ac:dyDescent="0.45">
      <c r="C2" t="s">
        <v>0</v>
      </c>
      <c r="D2" t="s">
        <v>1</v>
      </c>
      <c r="K2">
        <v>43483.050643858995</v>
      </c>
      <c r="M2" s="1">
        <f>_xlfn.STDEV.S(K1:K10000)</f>
        <v>10612.010072711862</v>
      </c>
    </row>
    <row r="3" spans="1:17" x14ac:dyDescent="0.45">
      <c r="B3" t="s">
        <v>8</v>
      </c>
      <c r="C3" s="1">
        <f>H3</f>
        <v>32106.313524999801</v>
      </c>
      <c r="D3" s="1">
        <v>10757</v>
      </c>
      <c r="H3">
        <v>32106.313524999801</v>
      </c>
      <c r="K3">
        <v>26843.632545028777</v>
      </c>
      <c r="O3" s="3"/>
      <c r="P3" s="4"/>
      <c r="Q3" s="5"/>
    </row>
    <row r="4" spans="1:17" x14ac:dyDescent="0.45">
      <c r="H4">
        <v>10192.518790494718</v>
      </c>
      <c r="K4">
        <v>30602.211453526477</v>
      </c>
      <c r="O4" s="6"/>
      <c r="P4" s="7"/>
      <c r="Q4" s="8"/>
    </row>
    <row r="5" spans="1:17" x14ac:dyDescent="0.45">
      <c r="B5" t="s">
        <v>2</v>
      </c>
      <c r="C5" s="1">
        <f ca="1">_xlfn.NORM.INV(RAND(),$C$3,$D$3)</f>
        <v>44553.3694739973</v>
      </c>
      <c r="K5">
        <v>7077.4966402262544</v>
      </c>
      <c r="O5" s="6"/>
      <c r="P5" s="7"/>
      <c r="Q5" s="8"/>
    </row>
    <row r="6" spans="1:17" x14ac:dyDescent="0.45">
      <c r="K6">
        <v>33289.001715136095</v>
      </c>
      <c r="O6" s="6"/>
      <c r="P6" s="7"/>
      <c r="Q6" s="8"/>
    </row>
    <row r="7" spans="1:17" x14ac:dyDescent="0.45">
      <c r="E7" s="1">
        <f ca="1">_xlfn.NORM.INV(RAND(),$C$3,$D$3)</f>
        <v>25841.860254820236</v>
      </c>
      <c r="F7" s="1">
        <f t="shared" ref="F7:I7" ca="1" si="0">_xlfn.NORM.INV(RAND(),$C$3,$D$3)</f>
        <v>32369.015577167207</v>
      </c>
      <c r="G7" s="1">
        <f t="shared" ca="1" si="0"/>
        <v>14409.376765954617</v>
      </c>
      <c r="H7" s="1">
        <f t="shared" ca="1" si="0"/>
        <v>43423.006118375881</v>
      </c>
      <c r="I7" s="1">
        <f t="shared" ca="1" si="0"/>
        <v>35444.229975999697</v>
      </c>
      <c r="K7">
        <v>25888.4957478004</v>
      </c>
      <c r="O7" s="6"/>
      <c r="P7" s="7"/>
      <c r="Q7" s="8"/>
    </row>
    <row r="8" spans="1:17" x14ac:dyDescent="0.45">
      <c r="B8" t="s">
        <v>3</v>
      </c>
      <c r="C8">
        <v>1000</v>
      </c>
      <c r="E8" s="1"/>
      <c r="F8" s="1"/>
      <c r="G8" s="1"/>
      <c r="H8" s="1"/>
      <c r="I8" s="1"/>
      <c r="K8">
        <v>41688.361621895194</v>
      </c>
      <c r="O8" s="6"/>
      <c r="P8" s="7"/>
      <c r="Q8" s="8"/>
    </row>
    <row r="9" spans="1:17" x14ac:dyDescent="0.45">
      <c r="B9" t="s">
        <v>4</v>
      </c>
      <c r="C9">
        <v>1000</v>
      </c>
      <c r="K9">
        <v>2096.3239136014818</v>
      </c>
      <c r="O9" s="6"/>
      <c r="P9" s="7"/>
      <c r="Q9" s="8"/>
    </row>
    <row r="10" spans="1:17" x14ac:dyDescent="0.45">
      <c r="B10" t="s">
        <v>6</v>
      </c>
      <c r="C10" s="1">
        <f>MAX(K:K)</f>
        <v>68097.338903310912</v>
      </c>
      <c r="K10">
        <v>37470.857301698488</v>
      </c>
      <c r="O10" s="6"/>
      <c r="P10" s="7"/>
      <c r="Q10" s="8"/>
    </row>
    <row r="11" spans="1:17" x14ac:dyDescent="0.45">
      <c r="B11" t="s">
        <v>5</v>
      </c>
      <c r="C11" s="1">
        <f>MIN(K:K)</f>
        <v>0</v>
      </c>
      <c r="E11" s="1">
        <f>ROUNDDOWN((C10-C11)/100,0)</f>
        <v>680</v>
      </c>
      <c r="K11">
        <v>42061.469989606063</v>
      </c>
      <c r="O11" s="6"/>
      <c r="P11" s="7"/>
      <c r="Q11" s="8"/>
    </row>
    <row r="12" spans="1:17" x14ac:dyDescent="0.45">
      <c r="K12">
        <v>30350.78541126239</v>
      </c>
      <c r="O12" s="6"/>
      <c r="P12" s="7"/>
      <c r="Q12" s="8"/>
    </row>
    <row r="13" spans="1:17" x14ac:dyDescent="0.45">
      <c r="A13" s="1">
        <f>ROUNDDOWN(C11,0)</f>
        <v>0</v>
      </c>
      <c r="B13">
        <f>COUNTIFS($K$1:$K$1000,"&gt;="&amp; A13,$K$1:$K$1000,"&lt;"&amp; A14)</f>
        <v>2</v>
      </c>
      <c r="C13" s="2"/>
      <c r="K13">
        <v>32947.457954834317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1361.9467780662183</v>
      </c>
      <c r="B14">
        <f t="shared" ref="B14:B62" si="1">COUNTIFS($K$1:$K$1000,"&gt;="&amp; A14,$K$1:$K$1000,"&lt;"&amp; A15)</f>
        <v>1</v>
      </c>
      <c r="C14" s="2"/>
      <c r="I14">
        <v>1000</v>
      </c>
      <c r="K14">
        <v>26474.791592833251</v>
      </c>
      <c r="O14" s="6"/>
      <c r="P14" s="7"/>
      <c r="Q14" s="8"/>
    </row>
    <row r="15" spans="1:17" x14ac:dyDescent="0.45">
      <c r="A15" s="1">
        <f t="shared" ref="A15:A63" si="2">IF(A14+($C$10-$C$11)/50&lt;=$C$10,A14+($C$10-$C$11)/50,MAX(A14+($C$10-$C$11)/50,$C$10))</f>
        <v>2723.8935561324365</v>
      </c>
      <c r="B15">
        <f t="shared" si="1"/>
        <v>1</v>
      </c>
      <c r="C15" s="2"/>
      <c r="K15">
        <v>43273.4418596818</v>
      </c>
      <c r="O15" s="6"/>
      <c r="P15" s="7"/>
      <c r="Q15" s="8"/>
    </row>
    <row r="16" spans="1:17" x14ac:dyDescent="0.45">
      <c r="A16" s="1">
        <f t="shared" si="2"/>
        <v>4085.840334198655</v>
      </c>
      <c r="B16">
        <f t="shared" si="1"/>
        <v>1</v>
      </c>
      <c r="C16" s="2"/>
      <c r="K16">
        <v>25016.860389114543</v>
      </c>
      <c r="O16" s="6"/>
      <c r="P16" s="7"/>
      <c r="Q16" s="8"/>
    </row>
    <row r="17" spans="1:17" x14ac:dyDescent="0.45">
      <c r="A17" s="1">
        <f t="shared" si="2"/>
        <v>5447.787112264873</v>
      </c>
      <c r="B17">
        <f t="shared" si="1"/>
        <v>2</v>
      </c>
      <c r="C17" s="2"/>
      <c r="K17">
        <v>25019.738725856339</v>
      </c>
      <c r="O17" s="6"/>
      <c r="P17" s="7"/>
      <c r="Q17" s="8"/>
    </row>
    <row r="18" spans="1:17" x14ac:dyDescent="0.45">
      <c r="A18" s="1">
        <f t="shared" si="2"/>
        <v>6809.7338903310911</v>
      </c>
      <c r="B18">
        <f t="shared" si="1"/>
        <v>5</v>
      </c>
      <c r="C18" s="2"/>
      <c r="K18">
        <v>23582.707898939763</v>
      </c>
      <c r="O18" s="6"/>
      <c r="P18" s="7"/>
      <c r="Q18" s="8"/>
    </row>
    <row r="19" spans="1:17" x14ac:dyDescent="0.45">
      <c r="A19" s="1">
        <f t="shared" si="2"/>
        <v>8171.6806683973091</v>
      </c>
      <c r="B19">
        <f t="shared" si="1"/>
        <v>6</v>
      </c>
      <c r="C19" s="2"/>
      <c r="K19">
        <v>13303.030062389818</v>
      </c>
      <c r="O19" s="6"/>
      <c r="P19" s="7"/>
      <c r="Q19" s="8"/>
    </row>
    <row r="20" spans="1:17" x14ac:dyDescent="0.45">
      <c r="A20" s="1">
        <f t="shared" si="2"/>
        <v>9533.627446463528</v>
      </c>
      <c r="B20">
        <f t="shared" si="1"/>
        <v>8</v>
      </c>
      <c r="C20" s="2"/>
      <c r="K20">
        <v>34580.852711784006</v>
      </c>
      <c r="O20" s="9"/>
      <c r="P20" s="10"/>
      <c r="Q20" s="11"/>
    </row>
    <row r="21" spans="1:17" x14ac:dyDescent="0.45">
      <c r="A21" s="1">
        <f t="shared" si="2"/>
        <v>10895.574224529746</v>
      </c>
      <c r="B21">
        <f t="shared" si="1"/>
        <v>8</v>
      </c>
      <c r="C21" s="2"/>
      <c r="K21">
        <v>25221.736262818038</v>
      </c>
    </row>
    <row r="22" spans="1:17" x14ac:dyDescent="0.45">
      <c r="A22" s="1">
        <f t="shared" si="2"/>
        <v>12257.521002595964</v>
      </c>
      <c r="B22">
        <f t="shared" si="1"/>
        <v>8</v>
      </c>
      <c r="C22" s="2"/>
      <c r="K22">
        <v>41048.765513751743</v>
      </c>
    </row>
    <row r="23" spans="1:17" x14ac:dyDescent="0.45">
      <c r="A23" s="1">
        <f t="shared" si="2"/>
        <v>13619.467780662182</v>
      </c>
      <c r="B23">
        <f t="shared" si="1"/>
        <v>10</v>
      </c>
      <c r="C23" s="2"/>
      <c r="K23">
        <v>47713.322915420489</v>
      </c>
    </row>
    <row r="24" spans="1:17" x14ac:dyDescent="0.45">
      <c r="A24" s="1">
        <f t="shared" si="2"/>
        <v>14981.4145587284</v>
      </c>
      <c r="B24">
        <f t="shared" si="1"/>
        <v>19</v>
      </c>
      <c r="C24" s="2"/>
      <c r="K24">
        <v>41662.508854111489</v>
      </c>
    </row>
    <row r="25" spans="1:17" x14ac:dyDescent="0.45">
      <c r="A25" s="1">
        <f t="shared" si="2"/>
        <v>16343.361336794618</v>
      </c>
      <c r="B25">
        <f t="shared" si="1"/>
        <v>18</v>
      </c>
      <c r="C25" s="2"/>
      <c r="K25">
        <v>51399.180709460212</v>
      </c>
    </row>
    <row r="26" spans="1:17" x14ac:dyDescent="0.45">
      <c r="A26" s="1">
        <f t="shared" si="2"/>
        <v>17705.308114860836</v>
      </c>
      <c r="B26">
        <f t="shared" si="1"/>
        <v>21</v>
      </c>
      <c r="C26" s="2"/>
      <c r="K26">
        <v>29143.18079433668</v>
      </c>
    </row>
    <row r="27" spans="1:17" x14ac:dyDescent="0.45">
      <c r="A27" s="1">
        <f t="shared" si="2"/>
        <v>19067.254892927056</v>
      </c>
      <c r="B27">
        <f t="shared" si="1"/>
        <v>26</v>
      </c>
      <c r="C27" s="2"/>
      <c r="K27">
        <v>13555.278332481197</v>
      </c>
    </row>
    <row r="28" spans="1:17" x14ac:dyDescent="0.45">
      <c r="A28" s="1">
        <f t="shared" si="2"/>
        <v>20429.201670993276</v>
      </c>
      <c r="B28">
        <f t="shared" si="1"/>
        <v>33</v>
      </c>
      <c r="C28" s="2"/>
      <c r="K28">
        <v>51204.645202741303</v>
      </c>
    </row>
    <row r="29" spans="1:17" x14ac:dyDescent="0.45">
      <c r="A29" s="1">
        <f t="shared" si="2"/>
        <v>21791.148449059496</v>
      </c>
      <c r="B29">
        <f t="shared" si="1"/>
        <v>37</v>
      </c>
      <c r="C29" s="2"/>
      <c r="K29">
        <v>37554.770188312381</v>
      </c>
    </row>
    <row r="30" spans="1:17" x14ac:dyDescent="0.45">
      <c r="A30" s="1">
        <f t="shared" si="2"/>
        <v>23153.095227125716</v>
      </c>
      <c r="B30">
        <f t="shared" si="1"/>
        <v>35</v>
      </c>
      <c r="C30" s="2"/>
      <c r="K30">
        <v>13999.518625222936</v>
      </c>
    </row>
    <row r="31" spans="1:17" x14ac:dyDescent="0.45">
      <c r="A31" s="1">
        <f t="shared" si="2"/>
        <v>24515.042005191935</v>
      </c>
      <c r="B31">
        <f t="shared" si="1"/>
        <v>30</v>
      </c>
      <c r="C31" s="2"/>
      <c r="K31">
        <v>23518.499749455397</v>
      </c>
    </row>
    <row r="32" spans="1:17" x14ac:dyDescent="0.45">
      <c r="A32" s="1">
        <f t="shared" si="2"/>
        <v>25876.988783258155</v>
      </c>
      <c r="B32">
        <f t="shared" si="1"/>
        <v>46</v>
      </c>
      <c r="C32" s="2"/>
      <c r="K32">
        <v>53524.397213790115</v>
      </c>
    </row>
    <row r="33" spans="1:11" x14ac:dyDescent="0.45">
      <c r="A33" s="1">
        <f t="shared" si="2"/>
        <v>27238.935561324375</v>
      </c>
      <c r="B33">
        <f t="shared" si="1"/>
        <v>45</v>
      </c>
      <c r="C33" s="2"/>
      <c r="K33">
        <v>46860.607573675341</v>
      </c>
    </row>
    <row r="34" spans="1:11" x14ac:dyDescent="0.45">
      <c r="A34" s="1">
        <f t="shared" si="2"/>
        <v>28600.882339390595</v>
      </c>
      <c r="B34">
        <f t="shared" si="1"/>
        <v>45</v>
      </c>
      <c r="C34" s="2"/>
      <c r="K34">
        <v>26489.280644879706</v>
      </c>
    </row>
    <row r="35" spans="1:11" x14ac:dyDescent="0.45">
      <c r="A35" s="1">
        <f t="shared" si="2"/>
        <v>29962.829117456815</v>
      </c>
      <c r="B35">
        <f t="shared" si="1"/>
        <v>49</v>
      </c>
      <c r="C35" s="2"/>
      <c r="K35">
        <v>33212.503076091016</v>
      </c>
    </row>
    <row r="36" spans="1:11" x14ac:dyDescent="0.45">
      <c r="A36" s="1">
        <f t="shared" si="2"/>
        <v>31324.775895523035</v>
      </c>
      <c r="B36">
        <f t="shared" si="1"/>
        <v>60</v>
      </c>
      <c r="C36" s="2"/>
      <c r="K36">
        <v>19468.192045565374</v>
      </c>
    </row>
    <row r="37" spans="1:11" x14ac:dyDescent="0.45">
      <c r="A37" s="1">
        <f t="shared" si="2"/>
        <v>32686.722673589255</v>
      </c>
      <c r="B37">
        <f t="shared" si="1"/>
        <v>51</v>
      </c>
      <c r="C37" s="2"/>
      <c r="K37">
        <v>21052.110567977415</v>
      </c>
    </row>
    <row r="38" spans="1:11" x14ac:dyDescent="0.45">
      <c r="A38" s="1">
        <f t="shared" si="2"/>
        <v>34048.669451655471</v>
      </c>
      <c r="B38">
        <f t="shared" si="1"/>
        <v>50</v>
      </c>
      <c r="C38" s="2"/>
      <c r="K38">
        <v>31259.842651989515</v>
      </c>
    </row>
    <row r="39" spans="1:11" x14ac:dyDescent="0.45">
      <c r="A39" s="1">
        <f t="shared" si="2"/>
        <v>35410.616229721687</v>
      </c>
      <c r="B39">
        <f t="shared" si="1"/>
        <v>47</v>
      </c>
      <c r="C39" s="2"/>
      <c r="K39">
        <v>30823.575220695555</v>
      </c>
    </row>
    <row r="40" spans="1:11" x14ac:dyDescent="0.45">
      <c r="A40" s="1">
        <f t="shared" si="2"/>
        <v>36772.563007787903</v>
      </c>
      <c r="B40">
        <f t="shared" si="1"/>
        <v>52</v>
      </c>
      <c r="C40" s="2"/>
      <c r="K40">
        <v>39249.658235665855</v>
      </c>
    </row>
    <row r="41" spans="1:11" x14ac:dyDescent="0.45">
      <c r="A41" s="1">
        <f t="shared" si="2"/>
        <v>38134.509785854119</v>
      </c>
      <c r="B41">
        <f t="shared" si="1"/>
        <v>49</v>
      </c>
      <c r="C41" s="2"/>
      <c r="K41">
        <v>46494.041797868973</v>
      </c>
    </row>
    <row r="42" spans="1:11" x14ac:dyDescent="0.45">
      <c r="A42" s="1">
        <f t="shared" si="2"/>
        <v>39496.456563920336</v>
      </c>
      <c r="B42">
        <f t="shared" si="1"/>
        <v>38</v>
      </c>
      <c r="C42" s="2"/>
      <c r="K42">
        <v>27128.718026379491</v>
      </c>
    </row>
    <row r="43" spans="1:11" x14ac:dyDescent="0.45">
      <c r="A43" s="1">
        <f t="shared" si="2"/>
        <v>40858.403341986552</v>
      </c>
      <c r="B43">
        <f t="shared" si="1"/>
        <v>38</v>
      </c>
      <c r="C43" s="2"/>
      <c r="K43">
        <v>31226.622285416885</v>
      </c>
    </row>
    <row r="44" spans="1:11" x14ac:dyDescent="0.45">
      <c r="A44" s="1">
        <f t="shared" si="2"/>
        <v>42220.350120052768</v>
      </c>
      <c r="B44">
        <f t="shared" si="1"/>
        <v>25</v>
      </c>
      <c r="C44" s="2"/>
      <c r="K44">
        <v>28616.782616255059</v>
      </c>
    </row>
    <row r="45" spans="1:11" x14ac:dyDescent="0.45">
      <c r="A45" s="1">
        <f t="shared" si="2"/>
        <v>43582.296898118984</v>
      </c>
      <c r="B45">
        <f t="shared" si="1"/>
        <v>26</v>
      </c>
      <c r="C45" s="2"/>
      <c r="K45">
        <v>41618.420811521137</v>
      </c>
    </row>
    <row r="46" spans="1:11" x14ac:dyDescent="0.45">
      <c r="A46" s="1">
        <f t="shared" si="2"/>
        <v>44944.2436761852</v>
      </c>
      <c r="B46">
        <f t="shared" si="1"/>
        <v>26</v>
      </c>
      <c r="C46" s="2"/>
      <c r="K46">
        <v>36340.577263495092</v>
      </c>
    </row>
    <row r="47" spans="1:11" x14ac:dyDescent="0.45">
      <c r="A47" s="1">
        <f t="shared" si="2"/>
        <v>46306.190454251417</v>
      </c>
      <c r="B47">
        <f t="shared" si="1"/>
        <v>12</v>
      </c>
      <c r="C47" s="2"/>
      <c r="K47">
        <v>36229.943102062847</v>
      </c>
    </row>
    <row r="48" spans="1:11" x14ac:dyDescent="0.45">
      <c r="A48" s="1">
        <f t="shared" si="2"/>
        <v>47668.137232317633</v>
      </c>
      <c r="B48">
        <f t="shared" si="1"/>
        <v>16</v>
      </c>
      <c r="C48" s="2"/>
      <c r="K48">
        <v>39452.64750927627</v>
      </c>
    </row>
    <row r="49" spans="1:11" x14ac:dyDescent="0.45">
      <c r="A49" s="1">
        <f t="shared" si="2"/>
        <v>49030.084010383849</v>
      </c>
      <c r="B49">
        <f t="shared" si="1"/>
        <v>6</v>
      </c>
      <c r="C49" s="2"/>
      <c r="K49">
        <v>23020.7913855648</v>
      </c>
    </row>
    <row r="50" spans="1:11" x14ac:dyDescent="0.45">
      <c r="A50" s="1">
        <f t="shared" si="2"/>
        <v>50392.030788450065</v>
      </c>
      <c r="B50">
        <f t="shared" si="1"/>
        <v>13</v>
      </c>
      <c r="C50" s="2"/>
      <c r="K50">
        <v>17417.266058022789</v>
      </c>
    </row>
    <row r="51" spans="1:11" x14ac:dyDescent="0.45">
      <c r="A51" s="1">
        <f t="shared" si="2"/>
        <v>51753.977566516282</v>
      </c>
      <c r="B51">
        <f t="shared" si="1"/>
        <v>8</v>
      </c>
      <c r="C51" s="2"/>
      <c r="K51">
        <v>40361.983799352296</v>
      </c>
    </row>
    <row r="52" spans="1:11" x14ac:dyDescent="0.45">
      <c r="A52" s="1">
        <f t="shared" si="2"/>
        <v>53115.924344582498</v>
      </c>
      <c r="B52">
        <f t="shared" si="1"/>
        <v>8</v>
      </c>
      <c r="C52" s="2"/>
      <c r="K52">
        <v>32070.53407173786</v>
      </c>
    </row>
    <row r="53" spans="1:11" x14ac:dyDescent="0.45">
      <c r="A53" s="1">
        <f t="shared" si="2"/>
        <v>54477.871122648714</v>
      </c>
      <c r="B53">
        <f t="shared" si="1"/>
        <v>3</v>
      </c>
      <c r="C53" s="2"/>
      <c r="K53">
        <v>15776.216156203092</v>
      </c>
    </row>
    <row r="54" spans="1:11" x14ac:dyDescent="0.45">
      <c r="A54" s="1">
        <f t="shared" si="2"/>
        <v>55839.81790071493</v>
      </c>
      <c r="B54">
        <f t="shared" si="1"/>
        <v>6</v>
      </c>
      <c r="C54" s="2"/>
      <c r="K54">
        <v>16835.958606367712</v>
      </c>
    </row>
    <row r="55" spans="1:11" x14ac:dyDescent="0.45">
      <c r="A55" s="1">
        <f t="shared" si="2"/>
        <v>57201.764678781146</v>
      </c>
      <c r="B55">
        <f t="shared" si="1"/>
        <v>1</v>
      </c>
      <c r="C55" s="2"/>
      <c r="K55">
        <v>35587.581037969911</v>
      </c>
    </row>
    <row r="56" spans="1:11" x14ac:dyDescent="0.45">
      <c r="A56" s="1">
        <f t="shared" si="2"/>
        <v>58563.711456847363</v>
      </c>
      <c r="B56">
        <f t="shared" si="1"/>
        <v>3</v>
      </c>
      <c r="C56" s="2"/>
      <c r="K56">
        <v>31501.887276826841</v>
      </c>
    </row>
    <row r="57" spans="1:11" x14ac:dyDescent="0.45">
      <c r="A57" s="1">
        <f t="shared" si="2"/>
        <v>59925.658234913579</v>
      </c>
      <c r="B57">
        <f t="shared" si="1"/>
        <v>3</v>
      </c>
      <c r="C57" s="2"/>
      <c r="K57">
        <v>44665.042399376071</v>
      </c>
    </row>
    <row r="58" spans="1:11" x14ac:dyDescent="0.45">
      <c r="A58" s="1">
        <f t="shared" si="2"/>
        <v>61287.605012979795</v>
      </c>
      <c r="B58">
        <f t="shared" si="1"/>
        <v>0</v>
      </c>
      <c r="C58" s="2"/>
      <c r="K58">
        <v>20720.254313181744</v>
      </c>
    </row>
    <row r="59" spans="1:11" x14ac:dyDescent="0.45">
      <c r="A59" s="1">
        <f t="shared" si="2"/>
        <v>62649.551791046011</v>
      </c>
      <c r="B59">
        <f t="shared" si="1"/>
        <v>1</v>
      </c>
      <c r="C59" s="2"/>
      <c r="K59">
        <v>24549.692751759565</v>
      </c>
    </row>
    <row r="60" spans="1:11" x14ac:dyDescent="0.45">
      <c r="A60" s="1">
        <f t="shared" si="2"/>
        <v>64011.498569112227</v>
      </c>
      <c r="B60">
        <f t="shared" si="1"/>
        <v>1</v>
      </c>
      <c r="C60" s="2"/>
      <c r="K60">
        <v>21059.571533953145</v>
      </c>
    </row>
    <row r="61" spans="1:11" x14ac:dyDescent="0.45">
      <c r="A61" s="1">
        <f t="shared" si="2"/>
        <v>65373.445347178444</v>
      </c>
      <c r="B61">
        <f t="shared" si="1"/>
        <v>0</v>
      </c>
      <c r="C61" s="2"/>
      <c r="K61">
        <v>34670.747795654119</v>
      </c>
    </row>
    <row r="62" spans="1:11" x14ac:dyDescent="0.45">
      <c r="A62" s="1">
        <f t="shared" si="2"/>
        <v>66735.39212524466</v>
      </c>
      <c r="B62">
        <f t="shared" si="1"/>
        <v>0</v>
      </c>
      <c r="C62" s="2"/>
      <c r="K62">
        <v>37243.237751169247</v>
      </c>
    </row>
    <row r="63" spans="1:11" x14ac:dyDescent="0.45">
      <c r="A63" s="1">
        <f t="shared" si="2"/>
        <v>68097.338903310883</v>
      </c>
      <c r="B63">
        <f>COUNTIFS($K$1:$K$1000,"&gt;="&amp; A63)</f>
        <v>1</v>
      </c>
      <c r="C63" s="2"/>
      <c r="K63">
        <v>40447.100939094293</v>
      </c>
    </row>
    <row r="64" spans="1:11" x14ac:dyDescent="0.45">
      <c r="B64">
        <f>SUM(B13:B63)</f>
        <v>1000</v>
      </c>
      <c r="C64" s="2"/>
      <c r="K64">
        <v>6841.8558550816997</v>
      </c>
    </row>
    <row r="65" spans="3:11" x14ac:dyDescent="0.45">
      <c r="C65" s="2"/>
      <c r="K65">
        <v>29012.577676672739</v>
      </c>
    </row>
    <row r="66" spans="3:11" x14ac:dyDescent="0.45">
      <c r="C66" s="2"/>
      <c r="K66">
        <v>45063.665950335351</v>
      </c>
    </row>
    <row r="67" spans="3:11" x14ac:dyDescent="0.45">
      <c r="C67" s="2"/>
      <c r="K67">
        <v>32111.663233992862</v>
      </c>
    </row>
    <row r="68" spans="3:11" x14ac:dyDescent="0.45">
      <c r="C68" s="2"/>
      <c r="K68">
        <v>35458.362125619773</v>
      </c>
    </row>
    <row r="69" spans="3:11" x14ac:dyDescent="0.45">
      <c r="C69" s="2"/>
      <c r="K69">
        <v>28293.761097316659</v>
      </c>
    </row>
    <row r="70" spans="3:11" x14ac:dyDescent="0.45">
      <c r="C70" s="2"/>
      <c r="K70">
        <v>34648.280272980934</v>
      </c>
    </row>
    <row r="71" spans="3:11" x14ac:dyDescent="0.45">
      <c r="C71" s="2"/>
      <c r="K71">
        <v>44256.713057194029</v>
      </c>
    </row>
    <row r="72" spans="3:11" x14ac:dyDescent="0.45">
      <c r="C72" s="2"/>
      <c r="K72">
        <v>33533.253092256724</v>
      </c>
    </row>
    <row r="73" spans="3:11" x14ac:dyDescent="0.45">
      <c r="C73" s="2"/>
      <c r="K73">
        <v>33475.118375229416</v>
      </c>
    </row>
    <row r="74" spans="3:11" x14ac:dyDescent="0.45">
      <c r="C74" s="2"/>
      <c r="K74">
        <v>21931.260156888111</v>
      </c>
    </row>
    <row r="75" spans="3:11" x14ac:dyDescent="0.45">
      <c r="C75" s="2"/>
      <c r="K75">
        <v>37336.912204266635</v>
      </c>
    </row>
    <row r="76" spans="3:11" x14ac:dyDescent="0.45">
      <c r="C76" s="2"/>
      <c r="K76">
        <v>42868.847463606449</v>
      </c>
    </row>
    <row r="77" spans="3:11" x14ac:dyDescent="0.45">
      <c r="C77" s="2"/>
      <c r="K77">
        <v>46069.728973248384</v>
      </c>
    </row>
    <row r="78" spans="3:11" x14ac:dyDescent="0.45">
      <c r="C78" s="2"/>
      <c r="K78">
        <v>35315.568946791449</v>
      </c>
    </row>
    <row r="79" spans="3:11" x14ac:dyDescent="0.45">
      <c r="C79" s="2"/>
      <c r="K79">
        <v>28650.783433683602</v>
      </c>
    </row>
    <row r="80" spans="3:11" x14ac:dyDescent="0.45">
      <c r="C80" s="2"/>
      <c r="K80">
        <v>43364.197125108978</v>
      </c>
    </row>
    <row r="81" spans="3:11" x14ac:dyDescent="0.45">
      <c r="C81" s="2"/>
      <c r="K81">
        <v>28869.154159309281</v>
      </c>
    </row>
    <row r="82" spans="3:11" x14ac:dyDescent="0.45">
      <c r="C82" s="2"/>
      <c r="K82">
        <v>31507.472757809959</v>
      </c>
    </row>
    <row r="83" spans="3:11" x14ac:dyDescent="0.45">
      <c r="C83" s="2"/>
      <c r="K83">
        <v>52296.270018636671</v>
      </c>
    </row>
    <row r="84" spans="3:11" x14ac:dyDescent="0.45">
      <c r="K84">
        <v>48313.855576396847</v>
      </c>
    </row>
    <row r="85" spans="3:11" x14ac:dyDescent="0.45">
      <c r="K85">
        <v>19533.365231569878</v>
      </c>
    </row>
    <row r="86" spans="3:11" x14ac:dyDescent="0.45">
      <c r="K86">
        <v>37065.539718267515</v>
      </c>
    </row>
    <row r="87" spans="3:11" x14ac:dyDescent="0.45">
      <c r="K87">
        <v>33483.995477815319</v>
      </c>
    </row>
    <row r="88" spans="3:11" x14ac:dyDescent="0.45">
      <c r="K88">
        <v>26294.68201330756</v>
      </c>
    </row>
    <row r="89" spans="3:11" x14ac:dyDescent="0.45">
      <c r="K89">
        <v>32240.093885697406</v>
      </c>
    </row>
    <row r="90" spans="3:11" x14ac:dyDescent="0.45">
      <c r="K90">
        <v>39240.997651582613</v>
      </c>
    </row>
    <row r="91" spans="3:11" x14ac:dyDescent="0.45">
      <c r="K91">
        <v>29754.817483023995</v>
      </c>
    </row>
    <row r="92" spans="3:11" x14ac:dyDescent="0.45">
      <c r="K92">
        <v>27883.282845583715</v>
      </c>
    </row>
    <row r="93" spans="3:11" x14ac:dyDescent="0.45">
      <c r="K93">
        <v>13233.470305797942</v>
      </c>
    </row>
    <row r="94" spans="3:11" x14ac:dyDescent="0.45">
      <c r="K94">
        <v>43766.437969488063</v>
      </c>
    </row>
    <row r="95" spans="3:11" x14ac:dyDescent="0.45">
      <c r="K95">
        <v>43393.58125325392</v>
      </c>
    </row>
    <row r="96" spans="3:11" x14ac:dyDescent="0.45">
      <c r="K96">
        <v>38384.74445868683</v>
      </c>
    </row>
    <row r="97" spans="11:11" x14ac:dyDescent="0.45">
      <c r="K97">
        <v>47462.746716229842</v>
      </c>
    </row>
    <row r="98" spans="11:11" x14ac:dyDescent="0.45">
      <c r="K98">
        <v>40039.996674570692</v>
      </c>
    </row>
    <row r="99" spans="11:11" x14ac:dyDescent="0.45">
      <c r="K99">
        <v>40836.407823158996</v>
      </c>
    </row>
    <row r="100" spans="11:11" x14ac:dyDescent="0.45">
      <c r="K100">
        <v>30563.611616616985</v>
      </c>
    </row>
    <row r="101" spans="11:11" x14ac:dyDescent="0.45">
      <c r="K101">
        <v>30398.333058949418</v>
      </c>
    </row>
    <row r="102" spans="11:11" x14ac:dyDescent="0.45">
      <c r="K102">
        <v>21960.396633073415</v>
      </c>
    </row>
    <row r="103" spans="11:11" x14ac:dyDescent="0.45">
      <c r="K103">
        <v>34634.365667256177</v>
      </c>
    </row>
    <row r="104" spans="11:11" x14ac:dyDescent="0.45">
      <c r="K104">
        <v>29981.985116180076</v>
      </c>
    </row>
    <row r="105" spans="11:11" x14ac:dyDescent="0.45">
      <c r="K105">
        <v>21169.65687992626</v>
      </c>
    </row>
    <row r="106" spans="11:11" x14ac:dyDescent="0.45">
      <c r="K106">
        <v>38307.781321706323</v>
      </c>
    </row>
    <row r="107" spans="11:11" x14ac:dyDescent="0.45">
      <c r="K107">
        <v>21836.16684883077</v>
      </c>
    </row>
    <row r="108" spans="11:11" x14ac:dyDescent="0.45">
      <c r="K108">
        <v>11680.550213179667</v>
      </c>
    </row>
    <row r="109" spans="11:11" x14ac:dyDescent="0.45">
      <c r="K109">
        <v>15955.924571097576</v>
      </c>
    </row>
    <row r="110" spans="11:11" x14ac:dyDescent="0.45">
      <c r="K110">
        <v>37456.116434929863</v>
      </c>
    </row>
    <row r="111" spans="11:11" x14ac:dyDescent="0.45">
      <c r="K111">
        <v>18017.749537497839</v>
      </c>
    </row>
    <row r="112" spans="11:11" x14ac:dyDescent="0.45">
      <c r="K112">
        <v>29314.571910568469</v>
      </c>
    </row>
    <row r="113" spans="11:11" x14ac:dyDescent="0.45">
      <c r="K113">
        <v>64449.38340612733</v>
      </c>
    </row>
    <row r="114" spans="11:11" x14ac:dyDescent="0.45">
      <c r="K114">
        <v>40970.613531026436</v>
      </c>
    </row>
    <row r="115" spans="11:11" x14ac:dyDescent="0.45">
      <c r="K115">
        <v>27370.702976898094</v>
      </c>
    </row>
    <row r="116" spans="11:11" x14ac:dyDescent="0.45">
      <c r="K116">
        <v>28554.549381016346</v>
      </c>
    </row>
    <row r="117" spans="11:11" x14ac:dyDescent="0.45">
      <c r="K117">
        <v>29487.827172304776</v>
      </c>
    </row>
    <row r="118" spans="11:11" x14ac:dyDescent="0.45">
      <c r="K118">
        <v>50134.135162349077</v>
      </c>
    </row>
    <row r="119" spans="11:11" x14ac:dyDescent="0.45">
      <c r="K119">
        <v>31376.15580185621</v>
      </c>
    </row>
    <row r="120" spans="11:11" x14ac:dyDescent="0.45">
      <c r="K120">
        <v>35211.370652112266</v>
      </c>
    </row>
    <row r="121" spans="11:11" x14ac:dyDescent="0.45">
      <c r="K121">
        <v>25490.402458062548</v>
      </c>
    </row>
    <row r="122" spans="11:11" x14ac:dyDescent="0.45">
      <c r="K122">
        <v>21889.404306773642</v>
      </c>
    </row>
    <row r="123" spans="11:11" x14ac:dyDescent="0.45">
      <c r="K123">
        <v>46295.396946414054</v>
      </c>
    </row>
    <row r="124" spans="11:11" x14ac:dyDescent="0.45">
      <c r="K124">
        <v>36289.161045668989</v>
      </c>
    </row>
    <row r="125" spans="11:11" x14ac:dyDescent="0.45">
      <c r="K125">
        <v>53435.75108160192</v>
      </c>
    </row>
    <row r="126" spans="11:11" x14ac:dyDescent="0.45">
      <c r="K126">
        <v>41332.303446767015</v>
      </c>
    </row>
    <row r="127" spans="11:11" x14ac:dyDescent="0.45">
      <c r="K127">
        <v>28485.861155210609</v>
      </c>
    </row>
    <row r="128" spans="11:11" x14ac:dyDescent="0.45">
      <c r="K128">
        <v>27980.862847411925</v>
      </c>
    </row>
    <row r="129" spans="11:11" x14ac:dyDescent="0.45">
      <c r="K129">
        <v>32138.712016712703</v>
      </c>
    </row>
    <row r="130" spans="11:11" x14ac:dyDescent="0.45">
      <c r="K130">
        <v>29449.937540735118</v>
      </c>
    </row>
    <row r="131" spans="11:11" x14ac:dyDescent="0.45">
      <c r="K131">
        <v>45915.268376306209</v>
      </c>
    </row>
    <row r="132" spans="11:11" x14ac:dyDescent="0.45">
      <c r="K132">
        <v>41216.286776394052</v>
      </c>
    </row>
    <row r="133" spans="11:11" x14ac:dyDescent="0.45">
      <c r="K133">
        <v>28619.353198767709</v>
      </c>
    </row>
    <row r="134" spans="11:11" x14ac:dyDescent="0.45">
      <c r="K134">
        <v>24700.96029412467</v>
      </c>
    </row>
    <row r="135" spans="11:11" x14ac:dyDescent="0.45">
      <c r="K135">
        <v>21888.907494698386</v>
      </c>
    </row>
    <row r="136" spans="11:11" x14ac:dyDescent="0.45">
      <c r="K136">
        <v>41464.346931326887</v>
      </c>
    </row>
    <row r="137" spans="11:11" x14ac:dyDescent="0.45">
      <c r="K137">
        <v>41210.264778946184</v>
      </c>
    </row>
    <row r="138" spans="11:11" x14ac:dyDescent="0.45">
      <c r="K138">
        <v>22628.668222448014</v>
      </c>
    </row>
    <row r="139" spans="11:11" x14ac:dyDescent="0.45">
      <c r="K139">
        <v>45295.735344134373</v>
      </c>
    </row>
    <row r="140" spans="11:11" x14ac:dyDescent="0.45">
      <c r="K140">
        <v>21378.583167719349</v>
      </c>
    </row>
    <row r="141" spans="11:11" x14ac:dyDescent="0.45">
      <c r="K141">
        <v>24212.476025174019</v>
      </c>
    </row>
    <row r="142" spans="11:11" x14ac:dyDescent="0.45">
      <c r="K142">
        <v>26448.26996674843</v>
      </c>
    </row>
    <row r="143" spans="11:11" x14ac:dyDescent="0.45">
      <c r="K143">
        <v>25417.520017334075</v>
      </c>
    </row>
    <row r="144" spans="11:11" x14ac:dyDescent="0.45">
      <c r="K144">
        <v>34021.677331557439</v>
      </c>
    </row>
    <row r="145" spans="11:11" x14ac:dyDescent="0.45">
      <c r="K145">
        <v>37178.312624944068</v>
      </c>
    </row>
    <row r="146" spans="11:11" x14ac:dyDescent="0.45">
      <c r="K146">
        <v>29008.356129671629</v>
      </c>
    </row>
    <row r="147" spans="11:11" x14ac:dyDescent="0.45">
      <c r="K147">
        <v>25495.84071413906</v>
      </c>
    </row>
    <row r="148" spans="11:11" x14ac:dyDescent="0.45">
      <c r="K148">
        <v>20250.391474046759</v>
      </c>
    </row>
    <row r="149" spans="11:11" x14ac:dyDescent="0.45">
      <c r="K149">
        <v>18491.116892189508</v>
      </c>
    </row>
    <row r="150" spans="11:11" x14ac:dyDescent="0.45">
      <c r="K150">
        <v>50449.709096288017</v>
      </c>
    </row>
    <row r="151" spans="11:11" x14ac:dyDescent="0.45">
      <c r="K151">
        <v>39763.912200976461</v>
      </c>
    </row>
    <row r="152" spans="11:11" x14ac:dyDescent="0.45">
      <c r="K152">
        <v>31990.977378546166</v>
      </c>
    </row>
    <row r="153" spans="11:11" x14ac:dyDescent="0.45">
      <c r="K153">
        <v>35918.65035495413</v>
      </c>
    </row>
    <row r="154" spans="11:11" x14ac:dyDescent="0.45">
      <c r="K154">
        <v>36582.996996870424</v>
      </c>
    </row>
    <row r="155" spans="11:11" x14ac:dyDescent="0.45">
      <c r="K155">
        <v>10892.85863688352</v>
      </c>
    </row>
    <row r="156" spans="11:11" x14ac:dyDescent="0.45">
      <c r="K156">
        <v>39162.94729346739</v>
      </c>
    </row>
    <row r="157" spans="11:11" x14ac:dyDescent="0.45">
      <c r="K157">
        <v>33365.974389946598</v>
      </c>
    </row>
    <row r="158" spans="11:11" x14ac:dyDescent="0.45">
      <c r="K158">
        <v>35923.021124185245</v>
      </c>
    </row>
    <row r="159" spans="11:11" x14ac:dyDescent="0.45">
      <c r="K159">
        <v>51977.498113838046</v>
      </c>
    </row>
    <row r="160" spans="11:11" x14ac:dyDescent="0.45">
      <c r="K160">
        <v>40956.577379464841</v>
      </c>
    </row>
    <row r="161" spans="11:11" x14ac:dyDescent="0.45">
      <c r="K161">
        <v>36985.159864193774</v>
      </c>
    </row>
    <row r="162" spans="11:11" x14ac:dyDescent="0.45">
      <c r="K162">
        <v>16512.30005907136</v>
      </c>
    </row>
    <row r="163" spans="11:11" x14ac:dyDescent="0.45">
      <c r="K163">
        <v>36419.879109896407</v>
      </c>
    </row>
    <row r="164" spans="11:11" x14ac:dyDescent="0.45">
      <c r="K164">
        <v>58971.93568889577</v>
      </c>
    </row>
    <row r="165" spans="11:11" x14ac:dyDescent="0.45">
      <c r="K165">
        <v>47753.858431397559</v>
      </c>
    </row>
    <row r="166" spans="11:11" x14ac:dyDescent="0.45">
      <c r="K166">
        <v>27095.490191972884</v>
      </c>
    </row>
    <row r="167" spans="11:11" x14ac:dyDescent="0.45">
      <c r="K167">
        <v>19976.837942560334</v>
      </c>
    </row>
    <row r="168" spans="11:11" x14ac:dyDescent="0.45">
      <c r="K168">
        <v>44521.357595490947</v>
      </c>
    </row>
    <row r="169" spans="11:11" x14ac:dyDescent="0.45">
      <c r="K169">
        <v>31825.496140960222</v>
      </c>
    </row>
    <row r="170" spans="11:11" x14ac:dyDescent="0.45">
      <c r="K170">
        <v>21320.158991286837</v>
      </c>
    </row>
    <row r="171" spans="11:11" x14ac:dyDescent="0.45">
      <c r="K171">
        <v>20083.230228376029</v>
      </c>
    </row>
    <row r="172" spans="11:11" x14ac:dyDescent="0.45">
      <c r="K172">
        <v>31579.268790311751</v>
      </c>
    </row>
    <row r="173" spans="11:11" x14ac:dyDescent="0.45">
      <c r="K173">
        <v>42704.726142432584</v>
      </c>
    </row>
    <row r="174" spans="11:11" x14ac:dyDescent="0.45">
      <c r="K174">
        <v>14644.487798894963</v>
      </c>
    </row>
    <row r="175" spans="11:11" x14ac:dyDescent="0.45">
      <c r="K175">
        <v>36406.177775226264</v>
      </c>
    </row>
    <row r="176" spans="11:11" x14ac:dyDescent="0.45">
      <c r="K176">
        <v>41074.204809784394</v>
      </c>
    </row>
    <row r="177" spans="11:11" x14ac:dyDescent="0.45">
      <c r="K177">
        <v>19616.577632592249</v>
      </c>
    </row>
    <row r="178" spans="11:11" x14ac:dyDescent="0.45">
      <c r="K178">
        <v>44388.670195474981</v>
      </c>
    </row>
    <row r="179" spans="11:11" x14ac:dyDescent="0.45">
      <c r="K179">
        <v>30814.689448311907</v>
      </c>
    </row>
    <row r="180" spans="11:11" x14ac:dyDescent="0.45">
      <c r="K180">
        <v>29143.14455796426</v>
      </c>
    </row>
    <row r="181" spans="11:11" x14ac:dyDescent="0.45">
      <c r="K181">
        <v>50951.083631786743</v>
      </c>
    </row>
    <row r="182" spans="11:11" x14ac:dyDescent="0.45">
      <c r="K182">
        <v>21504.004878233649</v>
      </c>
    </row>
    <row r="183" spans="11:11" x14ac:dyDescent="0.45">
      <c r="K183">
        <v>20017.27556191343</v>
      </c>
    </row>
    <row r="184" spans="11:11" x14ac:dyDescent="0.45">
      <c r="K184">
        <v>16786.628399919402</v>
      </c>
    </row>
    <row r="185" spans="11:11" x14ac:dyDescent="0.45">
      <c r="K185">
        <v>36384.812508904324</v>
      </c>
    </row>
    <row r="186" spans="11:11" x14ac:dyDescent="0.45">
      <c r="K186">
        <v>32597.088383499169</v>
      </c>
    </row>
    <row r="187" spans="11:11" x14ac:dyDescent="0.45">
      <c r="K187">
        <v>31925.582221576027</v>
      </c>
    </row>
    <row r="188" spans="11:11" x14ac:dyDescent="0.45">
      <c r="K188">
        <v>50997.960936243428</v>
      </c>
    </row>
    <row r="189" spans="11:11" x14ac:dyDescent="0.45">
      <c r="K189">
        <v>35468.679323268901</v>
      </c>
    </row>
    <row r="190" spans="11:11" x14ac:dyDescent="0.45">
      <c r="K190">
        <v>21789.984278733013</v>
      </c>
    </row>
    <row r="191" spans="11:11" x14ac:dyDescent="0.45">
      <c r="K191">
        <v>30789.781240719611</v>
      </c>
    </row>
    <row r="192" spans="11:11" x14ac:dyDescent="0.45">
      <c r="K192">
        <v>22955.749246130646</v>
      </c>
    </row>
    <row r="193" spans="11:11" x14ac:dyDescent="0.45">
      <c r="K193">
        <v>43859.206549017654</v>
      </c>
    </row>
    <row r="194" spans="11:11" x14ac:dyDescent="0.45">
      <c r="K194">
        <v>54441.926652689472</v>
      </c>
    </row>
    <row r="195" spans="11:11" x14ac:dyDescent="0.45">
      <c r="K195">
        <v>34339.835123367571</v>
      </c>
    </row>
    <row r="196" spans="11:11" x14ac:dyDescent="0.45">
      <c r="K196">
        <v>51929.913625607282</v>
      </c>
    </row>
    <row r="197" spans="11:11" x14ac:dyDescent="0.45">
      <c r="K197">
        <v>31767.023010045083</v>
      </c>
    </row>
    <row r="198" spans="11:11" x14ac:dyDescent="0.45">
      <c r="K198">
        <v>38769.222381233209</v>
      </c>
    </row>
    <row r="199" spans="11:11" x14ac:dyDescent="0.45">
      <c r="K199">
        <v>35032.994363775178</v>
      </c>
    </row>
    <row r="200" spans="11:11" x14ac:dyDescent="0.45">
      <c r="K200">
        <v>26455.178380812264</v>
      </c>
    </row>
    <row r="201" spans="11:11" x14ac:dyDescent="0.45">
      <c r="K201">
        <v>51777.04436875871</v>
      </c>
    </row>
    <row r="202" spans="11:11" x14ac:dyDescent="0.45">
      <c r="K202">
        <v>29852.956610534988</v>
      </c>
    </row>
    <row r="203" spans="11:11" x14ac:dyDescent="0.45">
      <c r="K203">
        <v>13843.889889670168</v>
      </c>
    </row>
    <row r="204" spans="11:11" x14ac:dyDescent="0.45">
      <c r="K204">
        <v>23862.088037810412</v>
      </c>
    </row>
    <row r="205" spans="11:11" x14ac:dyDescent="0.45">
      <c r="K205">
        <v>46443.748645120315</v>
      </c>
    </row>
    <row r="206" spans="11:11" x14ac:dyDescent="0.45">
      <c r="K206">
        <v>45691.111082800096</v>
      </c>
    </row>
    <row r="207" spans="11:11" x14ac:dyDescent="0.45">
      <c r="K207">
        <v>48294.349959376385</v>
      </c>
    </row>
    <row r="208" spans="11:11" x14ac:dyDescent="0.45">
      <c r="K208">
        <v>63126.913307832452</v>
      </c>
    </row>
    <row r="209" spans="11:11" x14ac:dyDescent="0.45">
      <c r="K209">
        <v>29709.403283500928</v>
      </c>
    </row>
    <row r="210" spans="11:11" x14ac:dyDescent="0.45">
      <c r="K210">
        <v>29783.255630974356</v>
      </c>
    </row>
    <row r="211" spans="11:11" x14ac:dyDescent="0.45">
      <c r="K211">
        <v>45150.645259657758</v>
      </c>
    </row>
    <row r="212" spans="11:11" x14ac:dyDescent="0.45">
      <c r="K212">
        <v>31665.326279480498</v>
      </c>
    </row>
    <row r="213" spans="11:11" x14ac:dyDescent="0.45">
      <c r="K213">
        <v>31048.743417657359</v>
      </c>
    </row>
    <row r="214" spans="11:11" x14ac:dyDescent="0.45">
      <c r="K214">
        <v>35282.949591699704</v>
      </c>
    </row>
    <row r="215" spans="11:11" x14ac:dyDescent="0.45">
      <c r="K215">
        <v>38527.384974556939</v>
      </c>
    </row>
    <row r="216" spans="11:11" x14ac:dyDescent="0.45">
      <c r="K216">
        <v>39118.095360002611</v>
      </c>
    </row>
    <row r="217" spans="11:11" x14ac:dyDescent="0.45">
      <c r="K217">
        <v>25457.636783275382</v>
      </c>
    </row>
    <row r="218" spans="11:11" x14ac:dyDescent="0.45">
      <c r="K218">
        <v>21119.011301683906</v>
      </c>
    </row>
    <row r="219" spans="11:11" x14ac:dyDescent="0.45">
      <c r="K219">
        <v>31600.51743996482</v>
      </c>
    </row>
    <row r="220" spans="11:11" x14ac:dyDescent="0.45">
      <c r="K220">
        <v>7943.8090299597352</v>
      </c>
    </row>
    <row r="221" spans="11:11" x14ac:dyDescent="0.45">
      <c r="K221">
        <v>48997.349702803709</v>
      </c>
    </row>
    <row r="222" spans="11:11" x14ac:dyDescent="0.45">
      <c r="K222">
        <v>42959.286274170583</v>
      </c>
    </row>
    <row r="223" spans="11:11" x14ac:dyDescent="0.45">
      <c r="K223">
        <v>40001.461467919609</v>
      </c>
    </row>
    <row r="224" spans="11:11" x14ac:dyDescent="0.45">
      <c r="K224">
        <v>28384.773444842936</v>
      </c>
    </row>
    <row r="225" spans="11:11" x14ac:dyDescent="0.45">
      <c r="K225">
        <v>21848.803138806994</v>
      </c>
    </row>
    <row r="226" spans="11:11" x14ac:dyDescent="0.45">
      <c r="K226">
        <v>35685.433261266029</v>
      </c>
    </row>
    <row r="227" spans="11:11" x14ac:dyDescent="0.45">
      <c r="K227">
        <v>16957.954025145573</v>
      </c>
    </row>
    <row r="228" spans="11:11" x14ac:dyDescent="0.45">
      <c r="K228">
        <v>24143.949141243378</v>
      </c>
    </row>
    <row r="229" spans="11:11" x14ac:dyDescent="0.45">
      <c r="K229">
        <v>23570.425052109298</v>
      </c>
    </row>
    <row r="230" spans="11:11" x14ac:dyDescent="0.45">
      <c r="K230">
        <v>35002.195435424946</v>
      </c>
    </row>
    <row r="231" spans="11:11" x14ac:dyDescent="0.45">
      <c r="K231">
        <v>25927.446154844496</v>
      </c>
    </row>
    <row r="232" spans="11:11" x14ac:dyDescent="0.45">
      <c r="K232">
        <v>24234.23294519075</v>
      </c>
    </row>
    <row r="233" spans="11:11" x14ac:dyDescent="0.45">
      <c r="K233">
        <v>19129.395704386632</v>
      </c>
    </row>
    <row r="234" spans="11:11" x14ac:dyDescent="0.45">
      <c r="K234">
        <v>41008.573674108877</v>
      </c>
    </row>
    <row r="235" spans="11:11" x14ac:dyDescent="0.45">
      <c r="K235">
        <v>8828.0107502177016</v>
      </c>
    </row>
    <row r="236" spans="11:11" x14ac:dyDescent="0.45">
      <c r="K236">
        <v>42998.994312465424</v>
      </c>
    </row>
    <row r="237" spans="11:11" x14ac:dyDescent="0.45">
      <c r="K237">
        <v>48251.02605244553</v>
      </c>
    </row>
    <row r="238" spans="11:11" x14ac:dyDescent="0.45">
      <c r="K238">
        <v>13130.074802253919</v>
      </c>
    </row>
    <row r="239" spans="11:11" x14ac:dyDescent="0.45">
      <c r="K239">
        <v>46146.676920834907</v>
      </c>
    </row>
    <row r="240" spans="11:11" x14ac:dyDescent="0.45">
      <c r="K240">
        <v>23167.127373882624</v>
      </c>
    </row>
    <row r="241" spans="11:11" x14ac:dyDescent="0.45">
      <c r="K241">
        <v>14518.898438264139</v>
      </c>
    </row>
    <row r="242" spans="11:11" x14ac:dyDescent="0.45">
      <c r="K242">
        <v>39093.236835178483</v>
      </c>
    </row>
    <row r="243" spans="11:11" x14ac:dyDescent="0.45">
      <c r="K243">
        <v>24910.158671184516</v>
      </c>
    </row>
    <row r="244" spans="11:11" x14ac:dyDescent="0.45">
      <c r="K244">
        <v>20641.407486689342</v>
      </c>
    </row>
    <row r="245" spans="11:11" x14ac:dyDescent="0.45">
      <c r="K245">
        <v>38513.568071030575</v>
      </c>
    </row>
    <row r="246" spans="11:11" x14ac:dyDescent="0.45">
      <c r="K246">
        <v>21585.99489964432</v>
      </c>
    </row>
    <row r="247" spans="11:11" x14ac:dyDescent="0.45">
      <c r="K247">
        <v>29057.200654255132</v>
      </c>
    </row>
    <row r="248" spans="11:11" x14ac:dyDescent="0.45">
      <c r="K248">
        <v>42972.296587996068</v>
      </c>
    </row>
    <row r="249" spans="11:11" x14ac:dyDescent="0.45">
      <c r="K249">
        <v>38268.928377300988</v>
      </c>
    </row>
    <row r="250" spans="11:11" x14ac:dyDescent="0.45">
      <c r="K250">
        <v>30244.103335696476</v>
      </c>
    </row>
    <row r="251" spans="11:11" x14ac:dyDescent="0.45">
      <c r="K251">
        <v>31303.386257184102</v>
      </c>
    </row>
    <row r="252" spans="11:11" x14ac:dyDescent="0.45">
      <c r="K252">
        <v>45138.936691441311</v>
      </c>
    </row>
    <row r="253" spans="11:11" x14ac:dyDescent="0.45">
      <c r="K253">
        <v>22725.363154780724</v>
      </c>
    </row>
    <row r="254" spans="11:11" x14ac:dyDescent="0.45">
      <c r="K254">
        <v>30528.310672781543</v>
      </c>
    </row>
    <row r="255" spans="11:11" x14ac:dyDescent="0.45">
      <c r="K255">
        <v>43652.686600693363</v>
      </c>
    </row>
    <row r="256" spans="11:11" x14ac:dyDescent="0.45">
      <c r="K256">
        <v>17624.273513037711</v>
      </c>
    </row>
    <row r="257" spans="11:11" x14ac:dyDescent="0.45">
      <c r="K257">
        <v>28139.734421114434</v>
      </c>
    </row>
    <row r="258" spans="11:11" x14ac:dyDescent="0.45">
      <c r="K258">
        <v>43556.34208922329</v>
      </c>
    </row>
    <row r="259" spans="11:11" x14ac:dyDescent="0.45">
      <c r="K259">
        <v>28436.989226518683</v>
      </c>
    </row>
    <row r="260" spans="11:11" x14ac:dyDescent="0.45">
      <c r="K260">
        <v>30726.38475802635</v>
      </c>
    </row>
    <row r="261" spans="11:11" x14ac:dyDescent="0.45">
      <c r="K261">
        <v>41161.630894373564</v>
      </c>
    </row>
    <row r="262" spans="11:11" x14ac:dyDescent="0.45">
      <c r="K262">
        <v>8500.6577820097373</v>
      </c>
    </row>
    <row r="263" spans="11:11" x14ac:dyDescent="0.45">
      <c r="K263">
        <v>37228.947085426553</v>
      </c>
    </row>
    <row r="264" spans="11:11" x14ac:dyDescent="0.45">
      <c r="K264">
        <v>41681.521759497264</v>
      </c>
    </row>
    <row r="265" spans="11:11" x14ac:dyDescent="0.45">
      <c r="K265">
        <v>31128.73321912473</v>
      </c>
    </row>
    <row r="266" spans="11:11" x14ac:dyDescent="0.45">
      <c r="K266">
        <v>45919.225102752651</v>
      </c>
    </row>
    <row r="267" spans="11:11" x14ac:dyDescent="0.45">
      <c r="K267">
        <v>29779.629441590045</v>
      </c>
    </row>
    <row r="268" spans="11:11" x14ac:dyDescent="0.45">
      <c r="K268">
        <v>23408.46523022453</v>
      </c>
    </row>
    <row r="269" spans="11:11" x14ac:dyDescent="0.45">
      <c r="K269">
        <v>15673.682816178898</v>
      </c>
    </row>
    <row r="270" spans="11:11" x14ac:dyDescent="0.45">
      <c r="K270">
        <v>38800.263497652202</v>
      </c>
    </row>
    <row r="271" spans="11:11" x14ac:dyDescent="0.45">
      <c r="K271">
        <v>37415.203754061971</v>
      </c>
    </row>
    <row r="272" spans="11:11" x14ac:dyDescent="0.45">
      <c r="K272">
        <v>18577.170291124618</v>
      </c>
    </row>
    <row r="273" spans="11:11" x14ac:dyDescent="0.45">
      <c r="K273">
        <v>33720.39184588888</v>
      </c>
    </row>
    <row r="274" spans="11:11" x14ac:dyDescent="0.45">
      <c r="K274">
        <v>25793.465765346235</v>
      </c>
    </row>
    <row r="275" spans="11:11" x14ac:dyDescent="0.45">
      <c r="K275">
        <v>12991.191113965499</v>
      </c>
    </row>
    <row r="276" spans="11:11" x14ac:dyDescent="0.45">
      <c r="K276">
        <v>25041.913271970323</v>
      </c>
    </row>
    <row r="277" spans="11:11" x14ac:dyDescent="0.45">
      <c r="K277">
        <v>34568.987059630141</v>
      </c>
    </row>
    <row r="278" spans="11:11" x14ac:dyDescent="0.45">
      <c r="K278">
        <v>19225.997859911957</v>
      </c>
    </row>
    <row r="279" spans="11:11" x14ac:dyDescent="0.45">
      <c r="K279">
        <v>31540.313075388713</v>
      </c>
    </row>
    <row r="280" spans="11:11" x14ac:dyDescent="0.45">
      <c r="K280">
        <v>22995.946066141129</v>
      </c>
    </row>
    <row r="281" spans="11:11" x14ac:dyDescent="0.45">
      <c r="K281">
        <v>35316.799636025098</v>
      </c>
    </row>
    <row r="282" spans="11:11" x14ac:dyDescent="0.45">
      <c r="K282">
        <v>26127.653511989614</v>
      </c>
    </row>
    <row r="283" spans="11:11" x14ac:dyDescent="0.45">
      <c r="K283">
        <v>24360.538527602166</v>
      </c>
    </row>
    <row r="284" spans="11:11" x14ac:dyDescent="0.45">
      <c r="K284">
        <v>35850.92482778096</v>
      </c>
    </row>
    <row r="285" spans="11:11" x14ac:dyDescent="0.45">
      <c r="K285">
        <v>39148.071957675231</v>
      </c>
    </row>
    <row r="286" spans="11:11" x14ac:dyDescent="0.45">
      <c r="K286">
        <v>46659.070653439259</v>
      </c>
    </row>
    <row r="287" spans="11:11" x14ac:dyDescent="0.45">
      <c r="K287">
        <v>48361.804724925198</v>
      </c>
    </row>
    <row r="288" spans="11:11" x14ac:dyDescent="0.45">
      <c r="K288">
        <v>32711.48757679675</v>
      </c>
    </row>
    <row r="289" spans="11:11" x14ac:dyDescent="0.45">
      <c r="K289">
        <v>27245.091258301381</v>
      </c>
    </row>
    <row r="290" spans="11:11" x14ac:dyDescent="0.45">
      <c r="K290">
        <v>37178.118875717344</v>
      </c>
    </row>
    <row r="291" spans="11:11" x14ac:dyDescent="0.45">
      <c r="K291">
        <v>29418.596273055446</v>
      </c>
    </row>
    <row r="292" spans="11:11" x14ac:dyDescent="0.45">
      <c r="K292">
        <v>34415.129513354565</v>
      </c>
    </row>
    <row r="293" spans="11:11" x14ac:dyDescent="0.45">
      <c r="K293">
        <v>32583.065920450481</v>
      </c>
    </row>
    <row r="294" spans="11:11" x14ac:dyDescent="0.45">
      <c r="K294">
        <v>34467.866356588907</v>
      </c>
    </row>
    <row r="295" spans="11:11" x14ac:dyDescent="0.45">
      <c r="K295">
        <v>33954.016817409814</v>
      </c>
    </row>
    <row r="296" spans="11:11" x14ac:dyDescent="0.45">
      <c r="K296">
        <v>24648.789269273533</v>
      </c>
    </row>
    <row r="297" spans="11:11" x14ac:dyDescent="0.45">
      <c r="K297">
        <v>40785.956151199403</v>
      </c>
    </row>
    <row r="298" spans="11:11" x14ac:dyDescent="0.45">
      <c r="K298">
        <v>39090.57934128317</v>
      </c>
    </row>
    <row r="299" spans="11:11" x14ac:dyDescent="0.45">
      <c r="K299">
        <v>44175.879331409851</v>
      </c>
    </row>
    <row r="300" spans="11:11" x14ac:dyDescent="0.45">
      <c r="K300">
        <v>35781.202133625746</v>
      </c>
    </row>
    <row r="301" spans="11:11" x14ac:dyDescent="0.45">
      <c r="K301">
        <v>30302.87291910272</v>
      </c>
    </row>
    <row r="302" spans="11:11" x14ac:dyDescent="0.45">
      <c r="K302">
        <v>53031.67525082863</v>
      </c>
    </row>
    <row r="303" spans="11:11" x14ac:dyDescent="0.45">
      <c r="K303">
        <v>29570.692024357246</v>
      </c>
    </row>
    <row r="304" spans="11:11" x14ac:dyDescent="0.45">
      <c r="K304">
        <v>32564.98437503375</v>
      </c>
    </row>
    <row r="305" spans="11:11" x14ac:dyDescent="0.45">
      <c r="K305">
        <v>23934.588766295281</v>
      </c>
    </row>
    <row r="306" spans="11:11" x14ac:dyDescent="0.45">
      <c r="K306">
        <v>8869.7003550675472</v>
      </c>
    </row>
    <row r="307" spans="11:11" x14ac:dyDescent="0.45">
      <c r="K307">
        <v>42150.251340449649</v>
      </c>
    </row>
    <row r="308" spans="11:11" x14ac:dyDescent="0.45">
      <c r="K308">
        <v>34531.316890205635</v>
      </c>
    </row>
    <row r="309" spans="11:11" x14ac:dyDescent="0.45">
      <c r="K309">
        <v>35164.079702741488</v>
      </c>
    </row>
    <row r="310" spans="11:11" x14ac:dyDescent="0.45">
      <c r="K310">
        <v>8191.3466609410025</v>
      </c>
    </row>
    <row r="311" spans="11:11" x14ac:dyDescent="0.45">
      <c r="K311">
        <v>37788.882009749475</v>
      </c>
    </row>
    <row r="312" spans="11:11" x14ac:dyDescent="0.45">
      <c r="K312">
        <v>36152.598507278977</v>
      </c>
    </row>
    <row r="313" spans="11:11" x14ac:dyDescent="0.45">
      <c r="K313">
        <v>30637.202960600942</v>
      </c>
    </row>
    <row r="314" spans="11:11" x14ac:dyDescent="0.45">
      <c r="K314">
        <v>20907.088678034874</v>
      </c>
    </row>
    <row r="315" spans="11:11" x14ac:dyDescent="0.45">
      <c r="K315">
        <v>22740.844546641896</v>
      </c>
    </row>
    <row r="316" spans="11:11" x14ac:dyDescent="0.45">
      <c r="K316">
        <v>43232.936504869365</v>
      </c>
    </row>
    <row r="317" spans="11:11" x14ac:dyDescent="0.45">
      <c r="K317">
        <v>38055.378549571236</v>
      </c>
    </row>
    <row r="318" spans="11:11" x14ac:dyDescent="0.45">
      <c r="K318">
        <v>39110.104899799902</v>
      </c>
    </row>
    <row r="319" spans="11:11" x14ac:dyDescent="0.45">
      <c r="K319">
        <v>32927.156837164795</v>
      </c>
    </row>
    <row r="320" spans="11:11" x14ac:dyDescent="0.45">
      <c r="K320">
        <v>35792.125164889621</v>
      </c>
    </row>
    <row r="321" spans="11:11" x14ac:dyDescent="0.45">
      <c r="K321">
        <v>26843.80006690252</v>
      </c>
    </row>
    <row r="322" spans="11:11" x14ac:dyDescent="0.45">
      <c r="K322">
        <v>37537.434780678144</v>
      </c>
    </row>
    <row r="323" spans="11:11" x14ac:dyDescent="0.45">
      <c r="K323">
        <v>37707.067694310812</v>
      </c>
    </row>
    <row r="324" spans="11:11" x14ac:dyDescent="0.45">
      <c r="K324">
        <v>52587.613482939603</v>
      </c>
    </row>
    <row r="325" spans="11:11" x14ac:dyDescent="0.45">
      <c r="K325">
        <v>14667.487003430109</v>
      </c>
    </row>
    <row r="326" spans="11:11" x14ac:dyDescent="0.45">
      <c r="K326">
        <v>26166.524011472487</v>
      </c>
    </row>
    <row r="327" spans="11:11" x14ac:dyDescent="0.45">
      <c r="K327">
        <v>39311.043474240469</v>
      </c>
    </row>
    <row r="328" spans="11:11" x14ac:dyDescent="0.45">
      <c r="K328">
        <v>45107.062894077651</v>
      </c>
    </row>
    <row r="329" spans="11:11" x14ac:dyDescent="0.45">
      <c r="K329">
        <v>23043.744609677422</v>
      </c>
    </row>
    <row r="330" spans="11:11" x14ac:dyDescent="0.45">
      <c r="K330">
        <v>40389.667010180856</v>
      </c>
    </row>
    <row r="331" spans="11:11" x14ac:dyDescent="0.45">
      <c r="K331">
        <v>33233.03425922351</v>
      </c>
    </row>
    <row r="332" spans="11:11" x14ac:dyDescent="0.45">
      <c r="K332">
        <v>44421.009321238533</v>
      </c>
    </row>
    <row r="333" spans="11:11" x14ac:dyDescent="0.45">
      <c r="K333">
        <v>24198.521526486045</v>
      </c>
    </row>
    <row r="334" spans="11:11" x14ac:dyDescent="0.45">
      <c r="K334">
        <v>32423.822022199249</v>
      </c>
    </row>
    <row r="335" spans="11:11" x14ac:dyDescent="0.45">
      <c r="K335">
        <v>28308.990849903581</v>
      </c>
    </row>
    <row r="336" spans="11:11" x14ac:dyDescent="0.45">
      <c r="K336">
        <v>26448.127424626597</v>
      </c>
    </row>
    <row r="337" spans="11:11" x14ac:dyDescent="0.45">
      <c r="K337">
        <v>27981.787118750137</v>
      </c>
    </row>
    <row r="338" spans="11:11" x14ac:dyDescent="0.45">
      <c r="K338">
        <v>41031.380441258487</v>
      </c>
    </row>
    <row r="339" spans="11:11" x14ac:dyDescent="0.45">
      <c r="K339">
        <v>13325.129414238789</v>
      </c>
    </row>
    <row r="340" spans="11:11" x14ac:dyDescent="0.45">
      <c r="K340">
        <v>37867.94559150852</v>
      </c>
    </row>
    <row r="341" spans="11:11" x14ac:dyDescent="0.45">
      <c r="K341">
        <v>38116.30384765644</v>
      </c>
    </row>
    <row r="342" spans="11:11" x14ac:dyDescent="0.45">
      <c r="K342">
        <v>32171.436832774732</v>
      </c>
    </row>
    <row r="343" spans="11:11" x14ac:dyDescent="0.45">
      <c r="K343">
        <v>16714.917424017065</v>
      </c>
    </row>
    <row r="344" spans="11:11" x14ac:dyDescent="0.45">
      <c r="K344">
        <v>20640.480173705007</v>
      </c>
    </row>
    <row r="345" spans="11:11" x14ac:dyDescent="0.45">
      <c r="K345">
        <v>40420.556208361006</v>
      </c>
    </row>
    <row r="346" spans="11:11" x14ac:dyDescent="0.45">
      <c r="K346">
        <v>22330.580937825027</v>
      </c>
    </row>
    <row r="347" spans="11:11" x14ac:dyDescent="0.45">
      <c r="K347">
        <v>28853.872105516653</v>
      </c>
    </row>
    <row r="348" spans="11:11" x14ac:dyDescent="0.45">
      <c r="K348">
        <v>20607.880880137105</v>
      </c>
    </row>
    <row r="349" spans="11:11" x14ac:dyDescent="0.45">
      <c r="K349">
        <v>31828.678967301308</v>
      </c>
    </row>
    <row r="350" spans="11:11" x14ac:dyDescent="0.45">
      <c r="K350">
        <v>10716.284181067978</v>
      </c>
    </row>
    <row r="351" spans="11:11" x14ac:dyDescent="0.45">
      <c r="K351">
        <v>32335.125856968923</v>
      </c>
    </row>
    <row r="352" spans="11:11" x14ac:dyDescent="0.45">
      <c r="K352">
        <v>3675.6549260038846</v>
      </c>
    </row>
    <row r="353" spans="11:11" x14ac:dyDescent="0.45">
      <c r="K353">
        <v>32122.957044219052</v>
      </c>
    </row>
    <row r="354" spans="11:11" x14ac:dyDescent="0.45">
      <c r="K354">
        <v>25259.678223839015</v>
      </c>
    </row>
    <row r="355" spans="11:11" x14ac:dyDescent="0.45">
      <c r="K355">
        <v>35255.986885201492</v>
      </c>
    </row>
    <row r="356" spans="11:11" x14ac:dyDescent="0.45">
      <c r="K356">
        <v>26120.847779526692</v>
      </c>
    </row>
    <row r="357" spans="11:11" x14ac:dyDescent="0.45">
      <c r="K357">
        <v>35782.729425095516</v>
      </c>
    </row>
    <row r="358" spans="11:11" x14ac:dyDescent="0.45">
      <c r="K358">
        <v>40624.764495454016</v>
      </c>
    </row>
    <row r="359" spans="11:11" x14ac:dyDescent="0.45">
      <c r="K359">
        <v>27790.832904325729</v>
      </c>
    </row>
    <row r="360" spans="11:11" x14ac:dyDescent="0.45">
      <c r="K360">
        <v>37213.107467970876</v>
      </c>
    </row>
    <row r="361" spans="11:11" x14ac:dyDescent="0.45">
      <c r="K361">
        <v>34915.806551205569</v>
      </c>
    </row>
    <row r="362" spans="11:11" x14ac:dyDescent="0.45">
      <c r="K362">
        <v>23798.257329702952</v>
      </c>
    </row>
    <row r="363" spans="11:11" x14ac:dyDescent="0.45">
      <c r="K363">
        <v>33016.094267363842</v>
      </c>
    </row>
    <row r="364" spans="11:11" x14ac:dyDescent="0.45">
      <c r="K364">
        <v>39948.884059423617</v>
      </c>
    </row>
    <row r="365" spans="11:11" x14ac:dyDescent="0.45">
      <c r="K365">
        <v>51306.963476467135</v>
      </c>
    </row>
    <row r="366" spans="11:11" x14ac:dyDescent="0.45">
      <c r="K366">
        <v>60028.794239663563</v>
      </c>
    </row>
    <row r="367" spans="11:11" x14ac:dyDescent="0.45">
      <c r="K367">
        <v>59770.34745342769</v>
      </c>
    </row>
    <row r="368" spans="11:11" x14ac:dyDescent="0.45">
      <c r="K368">
        <v>39129.392595816469</v>
      </c>
    </row>
    <row r="369" spans="11:11" x14ac:dyDescent="0.45">
      <c r="K369">
        <v>18204.027119005514</v>
      </c>
    </row>
    <row r="370" spans="11:11" x14ac:dyDescent="0.45">
      <c r="K370">
        <v>29039.656280925661</v>
      </c>
    </row>
    <row r="371" spans="11:11" x14ac:dyDescent="0.45">
      <c r="K371">
        <v>36943.090155900005</v>
      </c>
    </row>
    <row r="372" spans="11:11" x14ac:dyDescent="0.45">
      <c r="K372">
        <v>32391.501139956759</v>
      </c>
    </row>
    <row r="373" spans="11:11" x14ac:dyDescent="0.45">
      <c r="K373">
        <v>21103.682807282439</v>
      </c>
    </row>
    <row r="374" spans="11:11" x14ac:dyDescent="0.45">
      <c r="K374">
        <v>36905.039757779057</v>
      </c>
    </row>
    <row r="375" spans="11:11" x14ac:dyDescent="0.45">
      <c r="K375">
        <v>23930.551135089496</v>
      </c>
    </row>
    <row r="376" spans="11:11" x14ac:dyDescent="0.45">
      <c r="K376">
        <v>21184.853219920973</v>
      </c>
    </row>
    <row r="377" spans="11:11" x14ac:dyDescent="0.45">
      <c r="K377">
        <v>45004.480880181945</v>
      </c>
    </row>
    <row r="378" spans="11:11" x14ac:dyDescent="0.45">
      <c r="K378">
        <v>57085.523517060872</v>
      </c>
    </row>
    <row r="379" spans="11:11" x14ac:dyDescent="0.45">
      <c r="K379">
        <v>32695.58891430491</v>
      </c>
    </row>
    <row r="380" spans="11:11" x14ac:dyDescent="0.45">
      <c r="K380">
        <v>33199.621386426959</v>
      </c>
    </row>
    <row r="381" spans="11:11" x14ac:dyDescent="0.45">
      <c r="K381">
        <v>29298.32855271014</v>
      </c>
    </row>
    <row r="382" spans="11:11" x14ac:dyDescent="0.45">
      <c r="K382">
        <v>20929.36492898138</v>
      </c>
    </row>
    <row r="383" spans="11:11" x14ac:dyDescent="0.45">
      <c r="K383">
        <v>28578.820917314955</v>
      </c>
    </row>
    <row r="384" spans="11:11" x14ac:dyDescent="0.45">
      <c r="K384">
        <v>39700.331093273286</v>
      </c>
    </row>
    <row r="385" spans="11:11" x14ac:dyDescent="0.45">
      <c r="K385">
        <v>58271.247646935983</v>
      </c>
    </row>
    <row r="386" spans="11:11" x14ac:dyDescent="0.45">
      <c r="K386">
        <v>21918.838766530924</v>
      </c>
    </row>
    <row r="387" spans="11:11" x14ac:dyDescent="0.45">
      <c r="K387">
        <v>27224.034774875039</v>
      </c>
    </row>
    <row r="388" spans="11:11" x14ac:dyDescent="0.45">
      <c r="K388">
        <v>44381.214283723457</v>
      </c>
    </row>
    <row r="389" spans="11:11" x14ac:dyDescent="0.45">
      <c r="K389">
        <v>39618.661580319691</v>
      </c>
    </row>
    <row r="390" spans="11:11" x14ac:dyDescent="0.45">
      <c r="K390">
        <v>24538.707633282076</v>
      </c>
    </row>
    <row r="391" spans="11:11" x14ac:dyDescent="0.45">
      <c r="K391">
        <v>27840.528407473037</v>
      </c>
    </row>
    <row r="392" spans="11:11" x14ac:dyDescent="0.45">
      <c r="K392">
        <v>47056.879012701087</v>
      </c>
    </row>
    <row r="393" spans="11:11" x14ac:dyDescent="0.45">
      <c r="K393">
        <v>28633.627931279509</v>
      </c>
    </row>
    <row r="394" spans="11:11" x14ac:dyDescent="0.45">
      <c r="K394">
        <v>38995.955457160351</v>
      </c>
    </row>
    <row r="395" spans="11:11" x14ac:dyDescent="0.45">
      <c r="K395">
        <v>27388.229860863557</v>
      </c>
    </row>
    <row r="396" spans="11:11" x14ac:dyDescent="0.45">
      <c r="K396">
        <v>45945.464942282641</v>
      </c>
    </row>
    <row r="397" spans="11:11" x14ac:dyDescent="0.45">
      <c r="K397">
        <v>49523.993515282869</v>
      </c>
    </row>
    <row r="398" spans="11:11" x14ac:dyDescent="0.45">
      <c r="K398">
        <v>31185.665622748082</v>
      </c>
    </row>
    <row r="399" spans="11:11" x14ac:dyDescent="0.45">
      <c r="K399">
        <v>53214.844580534089</v>
      </c>
    </row>
    <row r="400" spans="11:11" x14ac:dyDescent="0.45">
      <c r="K400">
        <v>31635.215060743954</v>
      </c>
    </row>
    <row r="401" spans="11:11" x14ac:dyDescent="0.45">
      <c r="K401">
        <v>29733.167703662104</v>
      </c>
    </row>
    <row r="402" spans="11:11" x14ac:dyDescent="0.45">
      <c r="K402">
        <v>16167.093316372087</v>
      </c>
    </row>
    <row r="403" spans="11:11" x14ac:dyDescent="0.45">
      <c r="K403">
        <v>26342.025758618882</v>
      </c>
    </row>
    <row r="404" spans="11:11" x14ac:dyDescent="0.45">
      <c r="K404">
        <v>39715.147918586219</v>
      </c>
    </row>
    <row r="405" spans="11:11" x14ac:dyDescent="0.45">
      <c r="K405">
        <v>27154.971341979479</v>
      </c>
    </row>
    <row r="406" spans="11:11" x14ac:dyDescent="0.45">
      <c r="K406">
        <v>31424.128625777503</v>
      </c>
    </row>
    <row r="407" spans="11:11" x14ac:dyDescent="0.45">
      <c r="K407">
        <v>48015.025383264554</v>
      </c>
    </row>
    <row r="408" spans="11:11" x14ac:dyDescent="0.45">
      <c r="K408">
        <v>28632.041645964779</v>
      </c>
    </row>
    <row r="409" spans="11:11" x14ac:dyDescent="0.45">
      <c r="K409">
        <v>36689.757840647944</v>
      </c>
    </row>
    <row r="410" spans="11:11" x14ac:dyDescent="0.45">
      <c r="K410">
        <v>26407.255366564968</v>
      </c>
    </row>
    <row r="411" spans="11:11" x14ac:dyDescent="0.45">
      <c r="K411">
        <v>18536.21338787756</v>
      </c>
    </row>
    <row r="412" spans="11:11" x14ac:dyDescent="0.45">
      <c r="K412">
        <v>23517.510246967511</v>
      </c>
    </row>
    <row r="413" spans="11:11" x14ac:dyDescent="0.45">
      <c r="K413">
        <v>36501.111591241854</v>
      </c>
    </row>
    <row r="414" spans="11:11" x14ac:dyDescent="0.45">
      <c r="K414">
        <v>32068.848086029062</v>
      </c>
    </row>
    <row r="415" spans="11:11" x14ac:dyDescent="0.45">
      <c r="K415">
        <v>15843.750375799282</v>
      </c>
    </row>
    <row r="416" spans="11:11" x14ac:dyDescent="0.45">
      <c r="K416">
        <v>25776.901045183869</v>
      </c>
    </row>
    <row r="417" spans="11:11" x14ac:dyDescent="0.45">
      <c r="K417">
        <v>10698.83046964122</v>
      </c>
    </row>
    <row r="418" spans="11:11" x14ac:dyDescent="0.45">
      <c r="K418">
        <v>23172.340315249752</v>
      </c>
    </row>
    <row r="419" spans="11:11" x14ac:dyDescent="0.45">
      <c r="K419">
        <v>33273.16797221388</v>
      </c>
    </row>
    <row r="420" spans="11:11" x14ac:dyDescent="0.45">
      <c r="K420">
        <v>39274.643066496974</v>
      </c>
    </row>
    <row r="421" spans="11:11" x14ac:dyDescent="0.45">
      <c r="K421">
        <v>27836.179001247303</v>
      </c>
    </row>
    <row r="422" spans="11:11" x14ac:dyDescent="0.45">
      <c r="K422">
        <v>1039.2562859518766</v>
      </c>
    </row>
    <row r="423" spans="11:11" x14ac:dyDescent="0.45">
      <c r="K423">
        <v>30466.690607428136</v>
      </c>
    </row>
    <row r="424" spans="11:11" x14ac:dyDescent="0.45">
      <c r="K424">
        <v>30980.331696208537</v>
      </c>
    </row>
    <row r="425" spans="11:11" x14ac:dyDescent="0.45">
      <c r="K425">
        <v>29733.300255905218</v>
      </c>
    </row>
    <row r="426" spans="11:11" x14ac:dyDescent="0.45">
      <c r="K426">
        <v>32633.990892246416</v>
      </c>
    </row>
    <row r="427" spans="11:11" x14ac:dyDescent="0.45">
      <c r="K427">
        <v>32351.482217356071</v>
      </c>
    </row>
    <row r="428" spans="11:11" x14ac:dyDescent="0.45">
      <c r="K428">
        <v>31782.596723444942</v>
      </c>
    </row>
    <row r="429" spans="11:11" x14ac:dyDescent="0.45">
      <c r="K429">
        <v>21967.82117967452</v>
      </c>
    </row>
    <row r="430" spans="11:11" x14ac:dyDescent="0.45">
      <c r="K430">
        <v>35243.968879052714</v>
      </c>
    </row>
    <row r="431" spans="11:11" x14ac:dyDescent="0.45">
      <c r="K431">
        <v>36112.266256310359</v>
      </c>
    </row>
    <row r="432" spans="11:11" x14ac:dyDescent="0.45">
      <c r="K432">
        <v>40170.833376629729</v>
      </c>
    </row>
    <row r="433" spans="11:11" x14ac:dyDescent="0.45">
      <c r="K433">
        <v>26729.964690532604</v>
      </c>
    </row>
    <row r="434" spans="11:11" x14ac:dyDescent="0.45">
      <c r="K434">
        <v>35090.802079410001</v>
      </c>
    </row>
    <row r="435" spans="11:11" x14ac:dyDescent="0.45">
      <c r="K435">
        <v>22635.518656416923</v>
      </c>
    </row>
    <row r="436" spans="11:11" x14ac:dyDescent="0.45">
      <c r="K436">
        <v>26208.523150739878</v>
      </c>
    </row>
    <row r="437" spans="11:11" x14ac:dyDescent="0.45">
      <c r="K437">
        <v>16281.34772914856</v>
      </c>
    </row>
    <row r="438" spans="11:11" x14ac:dyDescent="0.45">
      <c r="K438">
        <v>38619.10931224993</v>
      </c>
    </row>
    <row r="439" spans="11:11" x14ac:dyDescent="0.45">
      <c r="K439">
        <v>30265.341848498316</v>
      </c>
    </row>
    <row r="440" spans="11:11" x14ac:dyDescent="0.45">
      <c r="K440">
        <v>16336.555826823094</v>
      </c>
    </row>
    <row r="441" spans="11:11" x14ac:dyDescent="0.45">
      <c r="K441">
        <v>48208.553313084674</v>
      </c>
    </row>
    <row r="442" spans="11:11" x14ac:dyDescent="0.45">
      <c r="K442">
        <v>21407.690418198883</v>
      </c>
    </row>
    <row r="443" spans="11:11" x14ac:dyDescent="0.45">
      <c r="K443">
        <v>16289.360691782542</v>
      </c>
    </row>
    <row r="444" spans="11:11" x14ac:dyDescent="0.45">
      <c r="K444">
        <v>24759.030556949681</v>
      </c>
    </row>
    <row r="445" spans="11:11" x14ac:dyDescent="0.45">
      <c r="K445">
        <v>30570.794384977242</v>
      </c>
    </row>
    <row r="446" spans="11:11" x14ac:dyDescent="0.45">
      <c r="K446">
        <v>43970.856296376667</v>
      </c>
    </row>
    <row r="447" spans="11:11" x14ac:dyDescent="0.45">
      <c r="K447">
        <v>25099.776134169875</v>
      </c>
    </row>
    <row r="448" spans="11:11" x14ac:dyDescent="0.45">
      <c r="K448">
        <v>30810.980559577416</v>
      </c>
    </row>
    <row r="449" spans="11:11" x14ac:dyDescent="0.45">
      <c r="K449">
        <v>39354.224021657777</v>
      </c>
    </row>
    <row r="450" spans="11:11" x14ac:dyDescent="0.45">
      <c r="K450">
        <v>45209.225758380315</v>
      </c>
    </row>
    <row r="451" spans="11:11" x14ac:dyDescent="0.45">
      <c r="K451">
        <v>29692.708375089216</v>
      </c>
    </row>
    <row r="452" spans="11:11" x14ac:dyDescent="0.45">
      <c r="K452">
        <v>28977.458404882087</v>
      </c>
    </row>
    <row r="453" spans="11:11" x14ac:dyDescent="0.45">
      <c r="K453">
        <v>36509.855932184728</v>
      </c>
    </row>
    <row r="454" spans="11:11" x14ac:dyDescent="0.45">
      <c r="K454">
        <v>25799.924681671411</v>
      </c>
    </row>
    <row r="455" spans="11:11" x14ac:dyDescent="0.45">
      <c r="K455">
        <v>28022.34701042646</v>
      </c>
    </row>
    <row r="456" spans="11:11" x14ac:dyDescent="0.45">
      <c r="K456">
        <v>47989.71764907529</v>
      </c>
    </row>
    <row r="457" spans="11:11" x14ac:dyDescent="0.45">
      <c r="K457">
        <v>15597.412542130827</v>
      </c>
    </row>
    <row r="458" spans="11:11" x14ac:dyDescent="0.45">
      <c r="K458">
        <v>18929.343121544902</v>
      </c>
    </row>
    <row r="459" spans="11:11" x14ac:dyDescent="0.45">
      <c r="K459">
        <v>34828.4070700062</v>
      </c>
    </row>
    <row r="460" spans="11:11" x14ac:dyDescent="0.45">
      <c r="K460">
        <v>26074.636743764113</v>
      </c>
    </row>
    <row r="461" spans="11:11" x14ac:dyDescent="0.45">
      <c r="K461">
        <v>41896.205975871329</v>
      </c>
    </row>
    <row r="462" spans="11:11" x14ac:dyDescent="0.45">
      <c r="K462">
        <v>45745.032840697131</v>
      </c>
    </row>
    <row r="463" spans="11:11" x14ac:dyDescent="0.45">
      <c r="K463">
        <v>58645.760377096682</v>
      </c>
    </row>
    <row r="464" spans="11:11" x14ac:dyDescent="0.45">
      <c r="K464">
        <v>31940.803043202959</v>
      </c>
    </row>
    <row r="465" spans="11:11" x14ac:dyDescent="0.45">
      <c r="K465">
        <v>26699.717445324899</v>
      </c>
    </row>
    <row r="466" spans="11:11" x14ac:dyDescent="0.45">
      <c r="K466">
        <v>38737.914299997596</v>
      </c>
    </row>
    <row r="467" spans="11:11" x14ac:dyDescent="0.45">
      <c r="K467">
        <v>28496.468045868223</v>
      </c>
    </row>
    <row r="468" spans="11:11" x14ac:dyDescent="0.45">
      <c r="K468">
        <v>15722.011297828212</v>
      </c>
    </row>
    <row r="469" spans="11:11" x14ac:dyDescent="0.45">
      <c r="K469">
        <v>24881.063499582728</v>
      </c>
    </row>
    <row r="470" spans="11:11" x14ac:dyDescent="0.45">
      <c r="K470">
        <v>33814.754797109294</v>
      </c>
    </row>
    <row r="471" spans="11:11" x14ac:dyDescent="0.45">
      <c r="K471">
        <v>39012.074500932111</v>
      </c>
    </row>
    <row r="472" spans="11:11" x14ac:dyDescent="0.45">
      <c r="K472">
        <v>33077.045077726805</v>
      </c>
    </row>
    <row r="473" spans="11:11" x14ac:dyDescent="0.45">
      <c r="K473">
        <v>44114.14448232123</v>
      </c>
    </row>
    <row r="474" spans="11:11" x14ac:dyDescent="0.45">
      <c r="K474">
        <v>31490.125513540428</v>
      </c>
    </row>
    <row r="475" spans="11:11" x14ac:dyDescent="0.45">
      <c r="K475">
        <v>6307.1973464155162</v>
      </c>
    </row>
    <row r="476" spans="11:11" x14ac:dyDescent="0.45">
      <c r="K476">
        <v>33572.758397177873</v>
      </c>
    </row>
    <row r="477" spans="11:11" x14ac:dyDescent="0.45">
      <c r="K477">
        <v>38814.625361977778</v>
      </c>
    </row>
    <row r="478" spans="11:11" x14ac:dyDescent="0.45">
      <c r="K478">
        <v>31544.441811472792</v>
      </c>
    </row>
    <row r="479" spans="11:11" x14ac:dyDescent="0.45">
      <c r="K479">
        <v>36535.05298945395</v>
      </c>
    </row>
    <row r="480" spans="11:11" x14ac:dyDescent="0.45">
      <c r="K480">
        <v>42301.423624687392</v>
      </c>
    </row>
    <row r="481" spans="11:11" x14ac:dyDescent="0.45">
      <c r="K481">
        <v>33762.57392799879</v>
      </c>
    </row>
    <row r="482" spans="11:11" x14ac:dyDescent="0.45">
      <c r="K482">
        <v>34820.789314219342</v>
      </c>
    </row>
    <row r="483" spans="11:11" x14ac:dyDescent="0.45">
      <c r="K483">
        <v>30861.388187250825</v>
      </c>
    </row>
    <row r="484" spans="11:11" x14ac:dyDescent="0.45">
      <c r="K484">
        <v>37690.224850726037</v>
      </c>
    </row>
    <row r="485" spans="11:11" x14ac:dyDescent="0.45">
      <c r="K485">
        <v>41435.90828208196</v>
      </c>
    </row>
    <row r="486" spans="11:11" x14ac:dyDescent="0.45">
      <c r="K486">
        <v>34358.272295105242</v>
      </c>
    </row>
    <row r="487" spans="11:11" x14ac:dyDescent="0.45">
      <c r="K487">
        <v>36841.886265005713</v>
      </c>
    </row>
    <row r="488" spans="11:11" x14ac:dyDescent="0.45">
      <c r="K488">
        <v>15211.653953406469</v>
      </c>
    </row>
    <row r="489" spans="11:11" x14ac:dyDescent="0.45">
      <c r="K489">
        <v>29523.607224506937</v>
      </c>
    </row>
    <row r="490" spans="11:11" x14ac:dyDescent="0.45">
      <c r="K490">
        <v>14202.781464270098</v>
      </c>
    </row>
    <row r="491" spans="11:11" x14ac:dyDescent="0.45">
      <c r="K491">
        <v>9251.7167294905448</v>
      </c>
    </row>
    <row r="492" spans="11:11" x14ac:dyDescent="0.45">
      <c r="K492">
        <v>38739.410623768097</v>
      </c>
    </row>
    <row r="493" spans="11:11" x14ac:dyDescent="0.45">
      <c r="K493">
        <v>20385.32939535108</v>
      </c>
    </row>
    <row r="494" spans="11:11" x14ac:dyDescent="0.45">
      <c r="K494">
        <v>5227.0764146651309</v>
      </c>
    </row>
    <row r="495" spans="11:11" x14ac:dyDescent="0.45">
      <c r="K495">
        <v>27869.210449414313</v>
      </c>
    </row>
    <row r="496" spans="11:11" x14ac:dyDescent="0.45">
      <c r="K496">
        <v>43029.454039201366</v>
      </c>
    </row>
    <row r="497" spans="11:11" x14ac:dyDescent="0.45">
      <c r="K497">
        <v>39553.839681814607</v>
      </c>
    </row>
    <row r="498" spans="11:11" x14ac:dyDescent="0.45">
      <c r="K498">
        <v>37129.299541106404</v>
      </c>
    </row>
    <row r="499" spans="11:11" x14ac:dyDescent="0.45">
      <c r="K499">
        <v>22283.466494358392</v>
      </c>
    </row>
    <row r="500" spans="11:11" x14ac:dyDescent="0.45">
      <c r="K500">
        <v>35882.949271321573</v>
      </c>
    </row>
    <row r="501" spans="11:11" x14ac:dyDescent="0.45">
      <c r="K501">
        <v>34709.371697614421</v>
      </c>
    </row>
    <row r="502" spans="11:11" x14ac:dyDescent="0.45">
      <c r="K502">
        <v>37447.16967094643</v>
      </c>
    </row>
    <row r="503" spans="11:11" x14ac:dyDescent="0.45">
      <c r="K503">
        <v>29563.34485980781</v>
      </c>
    </row>
    <row r="504" spans="11:11" x14ac:dyDescent="0.45">
      <c r="K504">
        <v>40005.107369748184</v>
      </c>
    </row>
    <row r="505" spans="11:11" x14ac:dyDescent="0.45">
      <c r="K505">
        <v>36464.427356034721</v>
      </c>
    </row>
    <row r="506" spans="11:11" x14ac:dyDescent="0.45">
      <c r="K506">
        <v>41297.365679145238</v>
      </c>
    </row>
    <row r="507" spans="11:11" x14ac:dyDescent="0.45">
      <c r="K507">
        <v>50811.368622698275</v>
      </c>
    </row>
    <row r="508" spans="11:11" x14ac:dyDescent="0.45">
      <c r="K508">
        <v>35330.435734829953</v>
      </c>
    </row>
    <row r="509" spans="11:11" x14ac:dyDescent="0.45">
      <c r="K509">
        <v>33454.94247293142</v>
      </c>
    </row>
    <row r="510" spans="11:11" x14ac:dyDescent="0.45">
      <c r="K510">
        <v>46752.490961010066</v>
      </c>
    </row>
    <row r="511" spans="11:11" x14ac:dyDescent="0.45">
      <c r="K511">
        <v>34016.514119955129</v>
      </c>
    </row>
    <row r="512" spans="11:11" x14ac:dyDescent="0.45">
      <c r="K512">
        <v>53576.707565906465</v>
      </c>
    </row>
    <row r="513" spans="11:11" x14ac:dyDescent="0.45">
      <c r="K513">
        <v>30739.45616607077</v>
      </c>
    </row>
    <row r="514" spans="11:11" x14ac:dyDescent="0.45">
      <c r="K514">
        <v>32756.149542743493</v>
      </c>
    </row>
    <row r="515" spans="11:11" x14ac:dyDescent="0.45">
      <c r="K515">
        <v>21245.96045825589</v>
      </c>
    </row>
    <row r="516" spans="11:11" x14ac:dyDescent="0.45">
      <c r="K516">
        <v>35349.899211774267</v>
      </c>
    </row>
    <row r="517" spans="11:11" x14ac:dyDescent="0.45">
      <c r="K517">
        <v>20571.121000334319</v>
      </c>
    </row>
    <row r="518" spans="11:11" x14ac:dyDescent="0.45">
      <c r="K518">
        <v>34702.095422050545</v>
      </c>
    </row>
    <row r="519" spans="11:11" x14ac:dyDescent="0.45">
      <c r="K519">
        <v>34229.428568899129</v>
      </c>
    </row>
    <row r="520" spans="11:11" x14ac:dyDescent="0.45">
      <c r="K520">
        <v>43885.323040601623</v>
      </c>
    </row>
    <row r="521" spans="11:11" x14ac:dyDescent="0.45">
      <c r="K521">
        <v>44082.39832455993</v>
      </c>
    </row>
    <row r="522" spans="11:11" x14ac:dyDescent="0.45">
      <c r="K522">
        <v>33170.201925451773</v>
      </c>
    </row>
    <row r="523" spans="11:11" x14ac:dyDescent="0.45">
      <c r="K523">
        <v>50898.596076348287</v>
      </c>
    </row>
    <row r="524" spans="11:11" x14ac:dyDescent="0.45">
      <c r="K524">
        <v>39039.542594248443</v>
      </c>
    </row>
    <row r="525" spans="11:11" x14ac:dyDescent="0.45">
      <c r="K525">
        <v>26002.292863233066</v>
      </c>
    </row>
    <row r="526" spans="11:11" x14ac:dyDescent="0.45">
      <c r="K526">
        <v>44422.01407820209</v>
      </c>
    </row>
    <row r="527" spans="11:11" x14ac:dyDescent="0.45">
      <c r="K527">
        <v>35065.36765949399</v>
      </c>
    </row>
    <row r="528" spans="11:11" x14ac:dyDescent="0.45">
      <c r="K528">
        <v>45160.407126040169</v>
      </c>
    </row>
    <row r="529" spans="11:11" x14ac:dyDescent="0.45">
      <c r="K529">
        <v>44026.890088267886</v>
      </c>
    </row>
    <row r="530" spans="11:11" x14ac:dyDescent="0.45">
      <c r="K530">
        <v>31374.498474960466</v>
      </c>
    </row>
    <row r="531" spans="11:11" x14ac:dyDescent="0.45">
      <c r="K531">
        <v>30838.765928091812</v>
      </c>
    </row>
    <row r="532" spans="11:11" x14ac:dyDescent="0.45">
      <c r="K532">
        <v>35060.036671308546</v>
      </c>
    </row>
    <row r="533" spans="11:11" x14ac:dyDescent="0.45">
      <c r="K533">
        <v>38877.912034187539</v>
      </c>
    </row>
    <row r="534" spans="11:11" x14ac:dyDescent="0.45">
      <c r="K534">
        <v>26070.026109984316</v>
      </c>
    </row>
    <row r="535" spans="11:11" x14ac:dyDescent="0.45">
      <c r="K535">
        <v>19124.444999138061</v>
      </c>
    </row>
    <row r="536" spans="11:11" x14ac:dyDescent="0.45">
      <c r="K536">
        <v>17172.79967089112</v>
      </c>
    </row>
    <row r="537" spans="11:11" x14ac:dyDescent="0.45">
      <c r="K537">
        <v>41730.832876065557</v>
      </c>
    </row>
    <row r="538" spans="11:11" x14ac:dyDescent="0.45">
      <c r="K538">
        <v>36417.00393309589</v>
      </c>
    </row>
    <row r="539" spans="11:11" x14ac:dyDescent="0.45">
      <c r="K539">
        <v>32394.079475824987</v>
      </c>
    </row>
    <row r="540" spans="11:11" x14ac:dyDescent="0.45">
      <c r="K540">
        <v>34314.010983299944</v>
      </c>
    </row>
    <row r="541" spans="11:11" x14ac:dyDescent="0.45">
      <c r="K541">
        <v>26901.763358128504</v>
      </c>
    </row>
    <row r="542" spans="11:11" x14ac:dyDescent="0.45">
      <c r="K542">
        <v>19425.526319940749</v>
      </c>
    </row>
    <row r="543" spans="11:11" x14ac:dyDescent="0.45">
      <c r="K543">
        <v>35517.38813859698</v>
      </c>
    </row>
    <row r="544" spans="11:11" x14ac:dyDescent="0.45">
      <c r="K544">
        <v>19031.512784062965</v>
      </c>
    </row>
    <row r="545" spans="11:11" x14ac:dyDescent="0.45">
      <c r="K545">
        <v>41262.414316394679</v>
      </c>
    </row>
    <row r="546" spans="11:11" x14ac:dyDescent="0.45">
      <c r="K546">
        <v>54106.724234608511</v>
      </c>
    </row>
    <row r="547" spans="11:11" x14ac:dyDescent="0.45">
      <c r="K547">
        <v>24378.185892437796</v>
      </c>
    </row>
    <row r="548" spans="11:11" x14ac:dyDescent="0.45">
      <c r="K548">
        <v>39878.80759686324</v>
      </c>
    </row>
    <row r="549" spans="11:11" x14ac:dyDescent="0.45">
      <c r="K549">
        <v>35384.34692375546</v>
      </c>
    </row>
    <row r="550" spans="11:11" x14ac:dyDescent="0.45">
      <c r="K550">
        <v>21222.688046277333</v>
      </c>
    </row>
    <row r="551" spans="11:11" x14ac:dyDescent="0.45">
      <c r="K551">
        <v>18404.691869196635</v>
      </c>
    </row>
    <row r="552" spans="11:11" x14ac:dyDescent="0.45">
      <c r="K552">
        <v>30613.691060387526</v>
      </c>
    </row>
    <row r="553" spans="11:11" x14ac:dyDescent="0.45">
      <c r="K553">
        <v>17683.805389932662</v>
      </c>
    </row>
    <row r="554" spans="11:11" x14ac:dyDescent="0.45">
      <c r="K554">
        <v>31184.358171613712</v>
      </c>
    </row>
    <row r="555" spans="11:11" x14ac:dyDescent="0.45">
      <c r="K555">
        <v>38016.856574224716</v>
      </c>
    </row>
    <row r="556" spans="11:11" x14ac:dyDescent="0.45">
      <c r="K556">
        <v>33104.061281355076</v>
      </c>
    </row>
    <row r="557" spans="11:11" x14ac:dyDescent="0.45">
      <c r="K557">
        <v>56121.593222195152</v>
      </c>
    </row>
    <row r="558" spans="11:11" x14ac:dyDescent="0.45">
      <c r="K558">
        <v>34556.0138093118</v>
      </c>
    </row>
    <row r="559" spans="11:11" x14ac:dyDescent="0.45">
      <c r="K559">
        <v>28176.671664967442</v>
      </c>
    </row>
    <row r="560" spans="11:11" x14ac:dyDescent="0.45">
      <c r="K560">
        <v>27933.35033064153</v>
      </c>
    </row>
    <row r="561" spans="11:11" x14ac:dyDescent="0.45">
      <c r="K561">
        <v>41773.861098789966</v>
      </c>
    </row>
    <row r="562" spans="11:11" x14ac:dyDescent="0.45">
      <c r="K562">
        <v>33660.756295114057</v>
      </c>
    </row>
    <row r="563" spans="11:11" x14ac:dyDescent="0.45">
      <c r="K563">
        <v>11738.508015399457</v>
      </c>
    </row>
    <row r="564" spans="11:11" x14ac:dyDescent="0.45">
      <c r="K564">
        <v>45838.390697928764</v>
      </c>
    </row>
    <row r="565" spans="11:11" x14ac:dyDescent="0.45">
      <c r="K565">
        <v>60103.435216277838</v>
      </c>
    </row>
    <row r="566" spans="11:11" x14ac:dyDescent="0.45">
      <c r="K566">
        <v>39438.794791065484</v>
      </c>
    </row>
    <row r="567" spans="11:11" x14ac:dyDescent="0.45">
      <c r="K567">
        <v>35477.651397170157</v>
      </c>
    </row>
    <row r="568" spans="11:11" x14ac:dyDescent="0.45">
      <c r="K568">
        <v>36009.396993404858</v>
      </c>
    </row>
    <row r="569" spans="11:11" x14ac:dyDescent="0.45">
      <c r="K569">
        <v>28573.935630225358</v>
      </c>
    </row>
    <row r="570" spans="11:11" x14ac:dyDescent="0.45">
      <c r="K570">
        <v>40715.221669444538</v>
      </c>
    </row>
    <row r="571" spans="11:11" x14ac:dyDescent="0.45">
      <c r="K571">
        <v>49792.985868628559</v>
      </c>
    </row>
    <row r="572" spans="11:11" x14ac:dyDescent="0.45">
      <c r="K572">
        <v>38902.069011722022</v>
      </c>
    </row>
    <row r="573" spans="11:11" x14ac:dyDescent="0.45">
      <c r="K573">
        <v>20025.073350892686</v>
      </c>
    </row>
    <row r="574" spans="11:11" x14ac:dyDescent="0.45">
      <c r="K574">
        <v>36684.643684387469</v>
      </c>
    </row>
    <row r="575" spans="11:11" x14ac:dyDescent="0.45">
      <c r="K575">
        <v>44952.033775103271</v>
      </c>
    </row>
    <row r="576" spans="11:11" x14ac:dyDescent="0.45">
      <c r="K576">
        <v>30888.673848655741</v>
      </c>
    </row>
    <row r="577" spans="11:11" x14ac:dyDescent="0.45">
      <c r="K577">
        <v>40952.36278735759</v>
      </c>
    </row>
    <row r="578" spans="11:11" x14ac:dyDescent="0.45">
      <c r="K578">
        <v>39004.329960097035</v>
      </c>
    </row>
    <row r="579" spans="11:11" x14ac:dyDescent="0.45">
      <c r="K579">
        <v>48359.075068011625</v>
      </c>
    </row>
    <row r="580" spans="11:11" x14ac:dyDescent="0.45">
      <c r="K580">
        <v>23150.931810917886</v>
      </c>
    </row>
    <row r="581" spans="11:11" x14ac:dyDescent="0.45">
      <c r="K581">
        <v>19283.936677310041</v>
      </c>
    </row>
    <row r="582" spans="11:11" x14ac:dyDescent="0.45">
      <c r="K582">
        <v>37124.731228546414</v>
      </c>
    </row>
    <row r="583" spans="11:11" x14ac:dyDescent="0.45">
      <c r="K583">
        <v>21406.202878006305</v>
      </c>
    </row>
    <row r="584" spans="11:11" x14ac:dyDescent="0.45">
      <c r="K584">
        <v>30233.25074323751</v>
      </c>
    </row>
    <row r="585" spans="11:11" x14ac:dyDescent="0.45">
      <c r="K585">
        <v>56084.246252952289</v>
      </c>
    </row>
    <row r="586" spans="11:11" x14ac:dyDescent="0.45">
      <c r="K586">
        <v>21934.638802696507</v>
      </c>
    </row>
    <row r="587" spans="11:11" x14ac:dyDescent="0.45">
      <c r="K587">
        <v>44217.672804612361</v>
      </c>
    </row>
    <row r="588" spans="11:11" x14ac:dyDescent="0.45">
      <c r="K588">
        <v>25242.583997683305</v>
      </c>
    </row>
    <row r="589" spans="11:11" x14ac:dyDescent="0.45">
      <c r="K589">
        <v>37452.503503490552</v>
      </c>
    </row>
    <row r="590" spans="11:11" x14ac:dyDescent="0.45">
      <c r="K590">
        <v>32143.516610695864</v>
      </c>
    </row>
    <row r="591" spans="11:11" x14ac:dyDescent="0.45">
      <c r="K591">
        <v>37419.931797628298</v>
      </c>
    </row>
    <row r="592" spans="11:11" x14ac:dyDescent="0.45">
      <c r="K592">
        <v>18828.85509481906</v>
      </c>
    </row>
    <row r="593" spans="11:11" x14ac:dyDescent="0.45">
      <c r="K593">
        <v>20550.458079562366</v>
      </c>
    </row>
    <row r="594" spans="11:11" x14ac:dyDescent="0.45">
      <c r="K594">
        <v>32771.101491264111</v>
      </c>
    </row>
    <row r="595" spans="11:11" x14ac:dyDescent="0.45">
      <c r="K595">
        <v>34359.205259390736</v>
      </c>
    </row>
    <row r="596" spans="11:11" x14ac:dyDescent="0.45">
      <c r="K596">
        <v>46717.122540416036</v>
      </c>
    </row>
    <row r="597" spans="11:11" x14ac:dyDescent="0.45">
      <c r="K597">
        <v>39918.172802369038</v>
      </c>
    </row>
    <row r="598" spans="11:11" x14ac:dyDescent="0.45">
      <c r="K598">
        <v>20151.993567884409</v>
      </c>
    </row>
    <row r="599" spans="11:11" x14ac:dyDescent="0.45">
      <c r="K599">
        <v>28311.085372011876</v>
      </c>
    </row>
    <row r="600" spans="11:11" x14ac:dyDescent="0.45">
      <c r="K600">
        <v>32452.934489402454</v>
      </c>
    </row>
    <row r="601" spans="11:11" x14ac:dyDescent="0.45">
      <c r="K601">
        <v>53927.913502953583</v>
      </c>
    </row>
    <row r="602" spans="11:11" x14ac:dyDescent="0.45">
      <c r="K602">
        <v>13882.176546111914</v>
      </c>
    </row>
    <row r="603" spans="11:11" x14ac:dyDescent="0.45">
      <c r="K603">
        <v>27118.063616487198</v>
      </c>
    </row>
    <row r="604" spans="11:11" x14ac:dyDescent="0.45">
      <c r="K604">
        <v>35639.625520479101</v>
      </c>
    </row>
    <row r="605" spans="11:11" x14ac:dyDescent="0.45">
      <c r="K605">
        <v>36812.11267571801</v>
      </c>
    </row>
    <row r="606" spans="11:11" x14ac:dyDescent="0.45">
      <c r="K606">
        <v>31457.780297368936</v>
      </c>
    </row>
    <row r="607" spans="11:11" x14ac:dyDescent="0.45">
      <c r="K607">
        <v>35369.467719958397</v>
      </c>
    </row>
    <row r="608" spans="11:11" x14ac:dyDescent="0.45">
      <c r="K608">
        <v>37010.277207435051</v>
      </c>
    </row>
    <row r="609" spans="11:11" x14ac:dyDescent="0.45">
      <c r="K609">
        <v>45150.55846472962</v>
      </c>
    </row>
    <row r="610" spans="11:11" x14ac:dyDescent="0.45">
      <c r="K610">
        <v>35358.045096637718</v>
      </c>
    </row>
    <row r="611" spans="11:11" x14ac:dyDescent="0.45">
      <c r="K611">
        <v>43003.661887820897</v>
      </c>
    </row>
    <row r="612" spans="11:11" x14ac:dyDescent="0.45">
      <c r="K612">
        <v>23627.434947536341</v>
      </c>
    </row>
    <row r="613" spans="11:11" x14ac:dyDescent="0.45">
      <c r="K613">
        <v>24287.582669669417</v>
      </c>
    </row>
    <row r="614" spans="11:11" x14ac:dyDescent="0.45">
      <c r="K614">
        <v>31437.758036653009</v>
      </c>
    </row>
    <row r="615" spans="11:11" x14ac:dyDescent="0.45">
      <c r="K615">
        <v>30878.083420060535</v>
      </c>
    </row>
    <row r="616" spans="11:11" x14ac:dyDescent="0.45">
      <c r="K616">
        <v>38068.580344572991</v>
      </c>
    </row>
    <row r="617" spans="11:11" x14ac:dyDescent="0.45">
      <c r="K617">
        <v>25732.19215026353</v>
      </c>
    </row>
    <row r="618" spans="11:11" x14ac:dyDescent="0.45">
      <c r="K618">
        <v>48420.863702470189</v>
      </c>
    </row>
    <row r="619" spans="11:11" x14ac:dyDescent="0.45">
      <c r="K619">
        <v>23938.51161717037</v>
      </c>
    </row>
    <row r="620" spans="11:11" x14ac:dyDescent="0.45">
      <c r="K620">
        <v>44948.864618486979</v>
      </c>
    </row>
    <row r="621" spans="11:11" x14ac:dyDescent="0.45">
      <c r="K621">
        <v>19895.506196905728</v>
      </c>
    </row>
    <row r="622" spans="11:11" x14ac:dyDescent="0.45">
      <c r="K622">
        <v>14441.637324096024</v>
      </c>
    </row>
    <row r="623" spans="11:11" x14ac:dyDescent="0.45">
      <c r="K623">
        <v>37076.234730969139</v>
      </c>
    </row>
    <row r="624" spans="11:11" x14ac:dyDescent="0.45">
      <c r="K624">
        <v>31593.26956769402</v>
      </c>
    </row>
    <row r="625" spans="11:11" x14ac:dyDescent="0.45">
      <c r="K625">
        <v>44739.11118170368</v>
      </c>
    </row>
    <row r="626" spans="11:11" x14ac:dyDescent="0.45">
      <c r="K626">
        <v>23016.365685794655</v>
      </c>
    </row>
    <row r="627" spans="11:11" x14ac:dyDescent="0.45">
      <c r="K627">
        <v>28863.955871357623</v>
      </c>
    </row>
    <row r="628" spans="11:11" x14ac:dyDescent="0.45">
      <c r="K628">
        <v>18684.46604976444</v>
      </c>
    </row>
    <row r="629" spans="11:11" x14ac:dyDescent="0.45">
      <c r="K629">
        <v>33168.834208019718</v>
      </c>
    </row>
    <row r="630" spans="11:11" x14ac:dyDescent="0.45">
      <c r="K630">
        <v>27791.364383929784</v>
      </c>
    </row>
    <row r="631" spans="11:11" x14ac:dyDescent="0.45">
      <c r="K631">
        <v>41650.138577872021</v>
      </c>
    </row>
    <row r="632" spans="11:11" x14ac:dyDescent="0.45">
      <c r="K632">
        <v>35569.146336842372</v>
      </c>
    </row>
    <row r="633" spans="11:11" x14ac:dyDescent="0.45">
      <c r="K633">
        <v>30229.153866214252</v>
      </c>
    </row>
    <row r="634" spans="11:11" x14ac:dyDescent="0.45">
      <c r="K634">
        <v>42220.87074617391</v>
      </c>
    </row>
    <row r="635" spans="11:11" x14ac:dyDescent="0.45">
      <c r="K635">
        <v>22911.086092579277</v>
      </c>
    </row>
    <row r="636" spans="11:11" x14ac:dyDescent="0.45">
      <c r="K636">
        <v>40790.637713420801</v>
      </c>
    </row>
    <row r="637" spans="11:11" x14ac:dyDescent="0.45">
      <c r="K637">
        <v>38215.225933258691</v>
      </c>
    </row>
    <row r="638" spans="11:11" x14ac:dyDescent="0.45">
      <c r="K638">
        <v>23792.259959824354</v>
      </c>
    </row>
    <row r="639" spans="11:11" x14ac:dyDescent="0.45">
      <c r="K639">
        <v>27346.387457614852</v>
      </c>
    </row>
    <row r="640" spans="11:11" x14ac:dyDescent="0.45">
      <c r="K640">
        <v>30813.340426284303</v>
      </c>
    </row>
    <row r="641" spans="11:11" x14ac:dyDescent="0.45">
      <c r="K641">
        <v>31697.502045525038</v>
      </c>
    </row>
    <row r="642" spans="11:11" x14ac:dyDescent="0.45">
      <c r="K642">
        <v>33398.953198449657</v>
      </c>
    </row>
    <row r="643" spans="11:11" x14ac:dyDescent="0.45">
      <c r="K643">
        <v>32375.232860351964</v>
      </c>
    </row>
    <row r="644" spans="11:11" x14ac:dyDescent="0.45">
      <c r="K644">
        <v>37455.085988005892</v>
      </c>
    </row>
    <row r="645" spans="11:11" x14ac:dyDescent="0.45">
      <c r="K645">
        <v>13074.127701488025</v>
      </c>
    </row>
    <row r="646" spans="11:11" x14ac:dyDescent="0.45">
      <c r="K646">
        <v>37065.09354713386</v>
      </c>
    </row>
    <row r="647" spans="11:11" x14ac:dyDescent="0.45">
      <c r="K647">
        <v>33616.357767621208</v>
      </c>
    </row>
    <row r="648" spans="11:11" x14ac:dyDescent="0.45">
      <c r="K648">
        <v>26988.009214926595</v>
      </c>
    </row>
    <row r="649" spans="11:11" x14ac:dyDescent="0.45">
      <c r="K649">
        <v>33890.808432615049</v>
      </c>
    </row>
    <row r="650" spans="11:11" x14ac:dyDescent="0.45">
      <c r="K650">
        <v>36181.835684203419</v>
      </c>
    </row>
    <row r="651" spans="11:11" x14ac:dyDescent="0.45">
      <c r="K651">
        <v>41158.384839569313</v>
      </c>
    </row>
    <row r="652" spans="11:11" x14ac:dyDescent="0.45">
      <c r="K652">
        <v>29569.242376209069</v>
      </c>
    </row>
    <row r="653" spans="11:11" x14ac:dyDescent="0.45">
      <c r="K653">
        <v>33177.052086432981</v>
      </c>
    </row>
    <row r="654" spans="11:11" x14ac:dyDescent="0.45">
      <c r="K654">
        <v>34388.73005532752</v>
      </c>
    </row>
    <row r="655" spans="11:11" x14ac:dyDescent="0.45">
      <c r="K655">
        <v>7071.3111678622045</v>
      </c>
    </row>
    <row r="656" spans="11:11" x14ac:dyDescent="0.45">
      <c r="K656">
        <v>22266.295552163137</v>
      </c>
    </row>
    <row r="657" spans="11:11" x14ac:dyDescent="0.45">
      <c r="K657">
        <v>11297.236371099803</v>
      </c>
    </row>
    <row r="658" spans="11:11" x14ac:dyDescent="0.45">
      <c r="K658">
        <v>37224.024630448388</v>
      </c>
    </row>
    <row r="659" spans="11:11" x14ac:dyDescent="0.45">
      <c r="K659">
        <v>28917.522260749913</v>
      </c>
    </row>
    <row r="660" spans="11:11" x14ac:dyDescent="0.45">
      <c r="K660">
        <v>39434.054569979075</v>
      </c>
    </row>
    <row r="661" spans="11:11" x14ac:dyDescent="0.45">
      <c r="K661">
        <v>9643.0034310732699</v>
      </c>
    </row>
    <row r="662" spans="11:11" x14ac:dyDescent="0.45">
      <c r="K662">
        <v>16720.611370958268</v>
      </c>
    </row>
    <row r="663" spans="11:11" x14ac:dyDescent="0.45">
      <c r="K663">
        <v>13099.548818160652</v>
      </c>
    </row>
    <row r="664" spans="11:11" x14ac:dyDescent="0.45">
      <c r="K664">
        <v>40947.997700473505</v>
      </c>
    </row>
    <row r="665" spans="11:11" x14ac:dyDescent="0.45">
      <c r="K665">
        <v>23994.859888099327</v>
      </c>
    </row>
    <row r="666" spans="11:11" x14ac:dyDescent="0.45">
      <c r="K666">
        <v>32196.420854967881</v>
      </c>
    </row>
    <row r="667" spans="11:11" x14ac:dyDescent="0.45">
      <c r="K667">
        <v>24342.850803284404</v>
      </c>
    </row>
    <row r="668" spans="11:11" x14ac:dyDescent="0.45">
      <c r="K668">
        <v>27210.78896632083</v>
      </c>
    </row>
    <row r="669" spans="11:11" x14ac:dyDescent="0.45">
      <c r="K669">
        <v>30021.79305484462</v>
      </c>
    </row>
    <row r="670" spans="11:11" x14ac:dyDescent="0.45">
      <c r="K670">
        <v>18260.368935387734</v>
      </c>
    </row>
    <row r="671" spans="11:11" x14ac:dyDescent="0.45">
      <c r="K671">
        <v>22073.842711614543</v>
      </c>
    </row>
    <row r="672" spans="11:11" x14ac:dyDescent="0.45">
      <c r="K672">
        <v>30132.46601875847</v>
      </c>
    </row>
    <row r="673" spans="11:11" x14ac:dyDescent="0.45">
      <c r="K673">
        <v>16635.241394854333</v>
      </c>
    </row>
    <row r="674" spans="11:11" x14ac:dyDescent="0.45">
      <c r="K674">
        <v>22116.867519236377</v>
      </c>
    </row>
    <row r="675" spans="11:11" x14ac:dyDescent="0.45">
      <c r="K675">
        <v>38695.054877006522</v>
      </c>
    </row>
    <row r="676" spans="11:11" x14ac:dyDescent="0.45">
      <c r="K676">
        <v>26293.278741116472</v>
      </c>
    </row>
    <row r="677" spans="11:11" x14ac:dyDescent="0.45">
      <c r="K677">
        <v>32013.177566885792</v>
      </c>
    </row>
    <row r="678" spans="11:11" x14ac:dyDescent="0.45">
      <c r="K678">
        <v>11009.234748729679</v>
      </c>
    </row>
    <row r="679" spans="11:11" x14ac:dyDescent="0.45">
      <c r="K679">
        <v>18958.123658532364</v>
      </c>
    </row>
    <row r="680" spans="11:11" x14ac:dyDescent="0.45">
      <c r="K680">
        <v>22294.916566521122</v>
      </c>
    </row>
    <row r="681" spans="11:11" x14ac:dyDescent="0.45">
      <c r="K681">
        <v>29782.281204679894</v>
      </c>
    </row>
    <row r="682" spans="11:11" x14ac:dyDescent="0.45">
      <c r="K682">
        <v>32387.752151309054</v>
      </c>
    </row>
    <row r="683" spans="11:11" x14ac:dyDescent="0.45">
      <c r="K683">
        <v>42292.882610683992</v>
      </c>
    </row>
    <row r="684" spans="11:11" x14ac:dyDescent="0.45">
      <c r="K684">
        <v>31070.576541948729</v>
      </c>
    </row>
    <row r="685" spans="11:11" x14ac:dyDescent="0.45">
      <c r="K685">
        <v>25894.410331358915</v>
      </c>
    </row>
    <row r="686" spans="11:11" x14ac:dyDescent="0.45">
      <c r="K686">
        <v>43176.493439162943</v>
      </c>
    </row>
    <row r="687" spans="11:11" x14ac:dyDescent="0.45">
      <c r="K687">
        <v>19217.15528501974</v>
      </c>
    </row>
    <row r="688" spans="11:11" x14ac:dyDescent="0.45">
      <c r="K688">
        <v>48336.201008235075</v>
      </c>
    </row>
    <row r="689" spans="11:11" x14ac:dyDescent="0.45">
      <c r="K689">
        <v>28407.142181267016</v>
      </c>
    </row>
    <row r="690" spans="11:11" x14ac:dyDescent="0.45">
      <c r="K690">
        <v>36790.046936424689</v>
      </c>
    </row>
    <row r="691" spans="11:11" x14ac:dyDescent="0.45">
      <c r="K691">
        <v>37089.892933482632</v>
      </c>
    </row>
    <row r="692" spans="11:11" x14ac:dyDescent="0.45">
      <c r="K692">
        <v>27696.059487532679</v>
      </c>
    </row>
    <row r="693" spans="11:11" x14ac:dyDescent="0.45">
      <c r="K693">
        <v>36831.478111861827</v>
      </c>
    </row>
    <row r="694" spans="11:11" x14ac:dyDescent="0.45">
      <c r="K694">
        <v>38828.618598877008</v>
      </c>
    </row>
    <row r="695" spans="11:11" x14ac:dyDescent="0.45">
      <c r="K695">
        <v>42758.69241627468</v>
      </c>
    </row>
    <row r="696" spans="11:11" x14ac:dyDescent="0.45">
      <c r="K696">
        <v>46583.204542472187</v>
      </c>
    </row>
    <row r="697" spans="11:11" x14ac:dyDescent="0.45">
      <c r="K697">
        <v>38785.189367588937</v>
      </c>
    </row>
    <row r="698" spans="11:11" x14ac:dyDescent="0.45">
      <c r="K698">
        <v>35549.880520954073</v>
      </c>
    </row>
    <row r="699" spans="11:11" x14ac:dyDescent="0.45">
      <c r="K699">
        <v>11446.399639809883</v>
      </c>
    </row>
    <row r="700" spans="11:11" x14ac:dyDescent="0.45">
      <c r="K700">
        <v>33292.842859062257</v>
      </c>
    </row>
    <row r="701" spans="11:11" x14ac:dyDescent="0.45">
      <c r="K701">
        <v>37503.395370599974</v>
      </c>
    </row>
    <row r="702" spans="11:11" x14ac:dyDescent="0.45">
      <c r="K702">
        <v>39525.088611615553</v>
      </c>
    </row>
    <row r="703" spans="11:11" x14ac:dyDescent="0.45">
      <c r="K703">
        <v>56779.017373958239</v>
      </c>
    </row>
    <row r="704" spans="11:11" x14ac:dyDescent="0.45">
      <c r="K704">
        <v>34272.695017356353</v>
      </c>
    </row>
    <row r="705" spans="11:11" x14ac:dyDescent="0.45">
      <c r="K705">
        <v>11653.469944107841</v>
      </c>
    </row>
    <row r="706" spans="11:11" x14ac:dyDescent="0.45">
      <c r="K706">
        <v>22962.983664160987</v>
      </c>
    </row>
    <row r="707" spans="11:11" x14ac:dyDescent="0.45">
      <c r="K707">
        <v>26672.73159610642</v>
      </c>
    </row>
    <row r="708" spans="11:11" x14ac:dyDescent="0.45">
      <c r="K708">
        <v>36884.813154743191</v>
      </c>
    </row>
    <row r="709" spans="11:11" x14ac:dyDescent="0.45">
      <c r="K709">
        <v>24340.676592793632</v>
      </c>
    </row>
    <row r="710" spans="11:11" x14ac:dyDescent="0.45">
      <c r="K710">
        <v>33981.020928183119</v>
      </c>
    </row>
    <row r="711" spans="11:11" x14ac:dyDescent="0.45">
      <c r="K711">
        <v>32737.493991303556</v>
      </c>
    </row>
    <row r="712" spans="11:11" x14ac:dyDescent="0.45">
      <c r="K712">
        <v>23498.983426411774</v>
      </c>
    </row>
    <row r="713" spans="11:11" x14ac:dyDescent="0.45">
      <c r="K713">
        <v>35920.17581356236</v>
      </c>
    </row>
    <row r="714" spans="11:11" x14ac:dyDescent="0.45">
      <c r="K714">
        <v>17319.032114741996</v>
      </c>
    </row>
    <row r="715" spans="11:11" x14ac:dyDescent="0.45">
      <c r="K715">
        <v>25503.953976924524</v>
      </c>
    </row>
    <row r="716" spans="11:11" x14ac:dyDescent="0.45">
      <c r="K716">
        <v>27555.318129865045</v>
      </c>
    </row>
    <row r="717" spans="11:11" x14ac:dyDescent="0.45">
      <c r="K717">
        <v>36002.790719219534</v>
      </c>
    </row>
    <row r="718" spans="11:11" x14ac:dyDescent="0.45">
      <c r="K718">
        <v>37863.799059375189</v>
      </c>
    </row>
    <row r="719" spans="11:11" x14ac:dyDescent="0.45">
      <c r="K719">
        <v>40417.625376899989</v>
      </c>
    </row>
    <row r="720" spans="11:11" x14ac:dyDescent="0.45">
      <c r="K720">
        <v>22366.507482089124</v>
      </c>
    </row>
    <row r="721" spans="11:11" x14ac:dyDescent="0.45">
      <c r="K721">
        <v>0</v>
      </c>
    </row>
    <row r="722" spans="11:11" x14ac:dyDescent="0.45">
      <c r="K722">
        <v>39079.110664111591</v>
      </c>
    </row>
    <row r="723" spans="11:11" x14ac:dyDescent="0.45">
      <c r="K723">
        <v>21796.397606827824</v>
      </c>
    </row>
    <row r="724" spans="11:11" x14ac:dyDescent="0.45">
      <c r="K724">
        <v>40419.220917483166</v>
      </c>
    </row>
    <row r="725" spans="11:11" x14ac:dyDescent="0.45">
      <c r="K725">
        <v>45310.110933535245</v>
      </c>
    </row>
    <row r="726" spans="11:11" x14ac:dyDescent="0.45">
      <c r="K726">
        <v>23710.224092528759</v>
      </c>
    </row>
    <row r="727" spans="11:11" x14ac:dyDescent="0.45">
      <c r="K727">
        <v>37623.384934072208</v>
      </c>
    </row>
    <row r="728" spans="11:11" x14ac:dyDescent="0.45">
      <c r="K728">
        <v>36395.646511630686</v>
      </c>
    </row>
    <row r="729" spans="11:11" x14ac:dyDescent="0.45">
      <c r="K729">
        <v>17345.912732435885</v>
      </c>
    </row>
    <row r="730" spans="11:11" x14ac:dyDescent="0.45">
      <c r="K730">
        <v>36929.560101823678</v>
      </c>
    </row>
    <row r="731" spans="11:11" x14ac:dyDescent="0.45">
      <c r="K731">
        <v>34395.713385721567</v>
      </c>
    </row>
    <row r="732" spans="11:11" x14ac:dyDescent="0.45">
      <c r="K732">
        <v>28873.696391986308</v>
      </c>
    </row>
    <row r="733" spans="11:11" x14ac:dyDescent="0.45">
      <c r="K733">
        <v>9049.5794125121101</v>
      </c>
    </row>
    <row r="734" spans="11:11" x14ac:dyDescent="0.45">
      <c r="K734">
        <v>35476.576842037379</v>
      </c>
    </row>
    <row r="735" spans="11:11" x14ac:dyDescent="0.45">
      <c r="K735">
        <v>35491.363567674751</v>
      </c>
    </row>
    <row r="736" spans="11:11" x14ac:dyDescent="0.45">
      <c r="K736">
        <v>60384.53749727823</v>
      </c>
    </row>
    <row r="737" spans="11:11" x14ac:dyDescent="0.45">
      <c r="K737">
        <v>39501.614419781727</v>
      </c>
    </row>
    <row r="738" spans="11:11" x14ac:dyDescent="0.45">
      <c r="K738">
        <v>10149.634693564523</v>
      </c>
    </row>
    <row r="739" spans="11:11" x14ac:dyDescent="0.45">
      <c r="K739">
        <v>33283.459058642875</v>
      </c>
    </row>
    <row r="740" spans="11:11" x14ac:dyDescent="0.45">
      <c r="K740">
        <v>15123.138921352591</v>
      </c>
    </row>
    <row r="741" spans="11:11" x14ac:dyDescent="0.45">
      <c r="K741">
        <v>33653.470213394932</v>
      </c>
    </row>
    <row r="742" spans="11:11" x14ac:dyDescent="0.45">
      <c r="K742">
        <v>40675.680340307474</v>
      </c>
    </row>
    <row r="743" spans="11:11" x14ac:dyDescent="0.45">
      <c r="K743">
        <v>41523.518616965302</v>
      </c>
    </row>
    <row r="744" spans="11:11" x14ac:dyDescent="0.45">
      <c r="K744">
        <v>41213.374342298688</v>
      </c>
    </row>
    <row r="745" spans="11:11" x14ac:dyDescent="0.45">
      <c r="K745">
        <v>32244.586475643719</v>
      </c>
    </row>
    <row r="746" spans="11:11" x14ac:dyDescent="0.45">
      <c r="K746">
        <v>5988.376323841243</v>
      </c>
    </row>
    <row r="747" spans="11:11" x14ac:dyDescent="0.45">
      <c r="K747">
        <v>29095.021679753212</v>
      </c>
    </row>
    <row r="748" spans="11:11" x14ac:dyDescent="0.45">
      <c r="K748">
        <v>24601.125951923012</v>
      </c>
    </row>
    <row r="749" spans="11:11" x14ac:dyDescent="0.45">
      <c r="K749">
        <v>38020.709951772122</v>
      </c>
    </row>
    <row r="750" spans="11:11" x14ac:dyDescent="0.45">
      <c r="K750">
        <v>17729.630845978885</v>
      </c>
    </row>
    <row r="751" spans="11:11" x14ac:dyDescent="0.45">
      <c r="K751">
        <v>54478.891714304787</v>
      </c>
    </row>
    <row r="752" spans="11:11" x14ac:dyDescent="0.45">
      <c r="K752">
        <v>23634.280564646837</v>
      </c>
    </row>
    <row r="753" spans="11:11" x14ac:dyDescent="0.45">
      <c r="K753">
        <v>49056.260009560174</v>
      </c>
    </row>
    <row r="754" spans="11:11" x14ac:dyDescent="0.45">
      <c r="K754">
        <v>18011.382721652073</v>
      </c>
    </row>
    <row r="755" spans="11:11" x14ac:dyDescent="0.45">
      <c r="K755">
        <v>10650.356013825811</v>
      </c>
    </row>
    <row r="756" spans="11:11" x14ac:dyDescent="0.45">
      <c r="K756">
        <v>21700.124487216319</v>
      </c>
    </row>
    <row r="757" spans="11:11" x14ac:dyDescent="0.45">
      <c r="K757">
        <v>30720.209623580642</v>
      </c>
    </row>
    <row r="758" spans="11:11" x14ac:dyDescent="0.45">
      <c r="K758">
        <v>55596.640467807898</v>
      </c>
    </row>
    <row r="759" spans="11:11" x14ac:dyDescent="0.45">
      <c r="K759">
        <v>39305.329824313842</v>
      </c>
    </row>
    <row r="760" spans="11:11" x14ac:dyDescent="0.45">
      <c r="K760">
        <v>34005.491920481254</v>
      </c>
    </row>
    <row r="761" spans="11:11" x14ac:dyDescent="0.45">
      <c r="K761">
        <v>27467.17769707743</v>
      </c>
    </row>
    <row r="762" spans="11:11" x14ac:dyDescent="0.45">
      <c r="K762">
        <v>27652.403608602872</v>
      </c>
    </row>
    <row r="763" spans="11:11" x14ac:dyDescent="0.45">
      <c r="K763">
        <v>37892.003154603444</v>
      </c>
    </row>
    <row r="764" spans="11:11" x14ac:dyDescent="0.45">
      <c r="K764">
        <v>26399.814215228413</v>
      </c>
    </row>
    <row r="765" spans="11:11" x14ac:dyDescent="0.45">
      <c r="K765">
        <v>40551.491634848215</v>
      </c>
    </row>
    <row r="766" spans="11:11" x14ac:dyDescent="0.45">
      <c r="K766">
        <v>30399.15828761792</v>
      </c>
    </row>
    <row r="767" spans="11:11" x14ac:dyDescent="0.45">
      <c r="K767">
        <v>11602.588571761935</v>
      </c>
    </row>
    <row r="768" spans="11:11" x14ac:dyDescent="0.45">
      <c r="K768">
        <v>26771.837377129294</v>
      </c>
    </row>
    <row r="769" spans="11:11" x14ac:dyDescent="0.45">
      <c r="K769">
        <v>26970.287348969789</v>
      </c>
    </row>
    <row r="770" spans="11:11" x14ac:dyDescent="0.45">
      <c r="K770">
        <v>15957.905086542112</v>
      </c>
    </row>
    <row r="771" spans="11:11" x14ac:dyDescent="0.45">
      <c r="K771">
        <v>39585.050503515449</v>
      </c>
    </row>
    <row r="772" spans="11:11" x14ac:dyDescent="0.45">
      <c r="K772">
        <v>41740.294032537837</v>
      </c>
    </row>
    <row r="773" spans="11:11" x14ac:dyDescent="0.45">
      <c r="K773">
        <v>46052.423722172622</v>
      </c>
    </row>
    <row r="774" spans="11:11" x14ac:dyDescent="0.45">
      <c r="K774">
        <v>33268.589201200535</v>
      </c>
    </row>
    <row r="775" spans="11:11" x14ac:dyDescent="0.45">
      <c r="K775">
        <v>48338.255257815967</v>
      </c>
    </row>
    <row r="776" spans="11:11" x14ac:dyDescent="0.45">
      <c r="K776">
        <v>17506.322234590378</v>
      </c>
    </row>
    <row r="777" spans="11:11" x14ac:dyDescent="0.45">
      <c r="K777">
        <v>46805.71511236392</v>
      </c>
    </row>
    <row r="778" spans="11:11" x14ac:dyDescent="0.45">
      <c r="K778">
        <v>24430.182827703986</v>
      </c>
    </row>
    <row r="779" spans="11:11" x14ac:dyDescent="0.45">
      <c r="K779">
        <v>24020.356014004898</v>
      </c>
    </row>
    <row r="780" spans="11:11" x14ac:dyDescent="0.45">
      <c r="K780">
        <v>32694.943693383681</v>
      </c>
    </row>
    <row r="781" spans="11:11" x14ac:dyDescent="0.45">
      <c r="K781">
        <v>34568.880815498713</v>
      </c>
    </row>
    <row r="782" spans="11:11" x14ac:dyDescent="0.45">
      <c r="K782">
        <v>56495.806978518827</v>
      </c>
    </row>
    <row r="783" spans="11:11" x14ac:dyDescent="0.45">
      <c r="K783">
        <v>42951.85450865161</v>
      </c>
    </row>
    <row r="784" spans="11:11" x14ac:dyDescent="0.45">
      <c r="K784">
        <v>14381.439091195934</v>
      </c>
    </row>
    <row r="785" spans="11:11" x14ac:dyDescent="0.45">
      <c r="K785">
        <v>20490.813140547267</v>
      </c>
    </row>
    <row r="786" spans="11:11" x14ac:dyDescent="0.45">
      <c r="K786">
        <v>45959.042476548442</v>
      </c>
    </row>
    <row r="787" spans="11:11" x14ac:dyDescent="0.45">
      <c r="K787">
        <v>32746.897198911392</v>
      </c>
    </row>
    <row r="788" spans="11:11" x14ac:dyDescent="0.45">
      <c r="K788">
        <v>33831.035064188021</v>
      </c>
    </row>
    <row r="789" spans="11:11" x14ac:dyDescent="0.45">
      <c r="K789">
        <v>36026.026424792006</v>
      </c>
    </row>
    <row r="790" spans="11:11" x14ac:dyDescent="0.45">
      <c r="K790">
        <v>24368.866630904664</v>
      </c>
    </row>
    <row r="791" spans="11:11" x14ac:dyDescent="0.45">
      <c r="K791">
        <v>22330.958120130555</v>
      </c>
    </row>
    <row r="792" spans="11:11" x14ac:dyDescent="0.45">
      <c r="K792">
        <v>31982.52162493888</v>
      </c>
    </row>
    <row r="793" spans="11:11" x14ac:dyDescent="0.45">
      <c r="K793">
        <v>38303.532924798172</v>
      </c>
    </row>
    <row r="794" spans="11:11" x14ac:dyDescent="0.45">
      <c r="K794">
        <v>44817.362322300949</v>
      </c>
    </row>
    <row r="795" spans="11:11" x14ac:dyDescent="0.45">
      <c r="K795">
        <v>20339.561605878735</v>
      </c>
    </row>
    <row r="796" spans="11:11" x14ac:dyDescent="0.45">
      <c r="K796">
        <v>33908.406244510938</v>
      </c>
    </row>
    <row r="797" spans="11:11" x14ac:dyDescent="0.45">
      <c r="K797">
        <v>23223.467457681378</v>
      </c>
    </row>
    <row r="798" spans="11:11" x14ac:dyDescent="0.45">
      <c r="K798">
        <v>30010.299717007871</v>
      </c>
    </row>
    <row r="799" spans="11:11" x14ac:dyDescent="0.45">
      <c r="K799">
        <v>23552.690443392908</v>
      </c>
    </row>
    <row r="800" spans="11:11" x14ac:dyDescent="0.45">
      <c r="K800">
        <v>33491.272096047702</v>
      </c>
    </row>
    <row r="801" spans="11:11" x14ac:dyDescent="0.45">
      <c r="K801">
        <v>25934.315297630434</v>
      </c>
    </row>
    <row r="802" spans="11:11" x14ac:dyDescent="0.45">
      <c r="K802">
        <v>32518.432759063602</v>
      </c>
    </row>
    <row r="803" spans="11:11" x14ac:dyDescent="0.45">
      <c r="K803">
        <v>30486.883543503325</v>
      </c>
    </row>
    <row r="804" spans="11:11" x14ac:dyDescent="0.45">
      <c r="K804">
        <v>15444.174695314487</v>
      </c>
    </row>
    <row r="805" spans="11:11" x14ac:dyDescent="0.45">
      <c r="K805">
        <v>34784.253959714515</v>
      </c>
    </row>
    <row r="806" spans="11:11" x14ac:dyDescent="0.45">
      <c r="K806">
        <v>35599.855203386847</v>
      </c>
    </row>
    <row r="807" spans="11:11" x14ac:dyDescent="0.45">
      <c r="K807">
        <v>41033.509294738978</v>
      </c>
    </row>
    <row r="808" spans="11:11" x14ac:dyDescent="0.45">
      <c r="K808">
        <v>20087.302107185344</v>
      </c>
    </row>
    <row r="809" spans="11:11" x14ac:dyDescent="0.45">
      <c r="K809">
        <v>43489.732557220057</v>
      </c>
    </row>
    <row r="810" spans="11:11" x14ac:dyDescent="0.45">
      <c r="K810">
        <v>30113.345743320202</v>
      </c>
    </row>
    <row r="811" spans="11:11" x14ac:dyDescent="0.45">
      <c r="K811">
        <v>36639.79300655672</v>
      </c>
    </row>
    <row r="812" spans="11:11" x14ac:dyDescent="0.45">
      <c r="K812">
        <v>21204.260010086979</v>
      </c>
    </row>
    <row r="813" spans="11:11" x14ac:dyDescent="0.45">
      <c r="K813">
        <v>43090.779721681509</v>
      </c>
    </row>
    <row r="814" spans="11:11" x14ac:dyDescent="0.45">
      <c r="K814">
        <v>34757.538089171503</v>
      </c>
    </row>
    <row r="815" spans="11:11" x14ac:dyDescent="0.45">
      <c r="K815">
        <v>41724.174466162513</v>
      </c>
    </row>
    <row r="816" spans="11:11" x14ac:dyDescent="0.45">
      <c r="K816">
        <v>40063.172802266883</v>
      </c>
    </row>
    <row r="817" spans="11:11" x14ac:dyDescent="0.45">
      <c r="K817">
        <v>28062.219155646802</v>
      </c>
    </row>
    <row r="818" spans="11:11" x14ac:dyDescent="0.45">
      <c r="K818">
        <v>56989.801150699059</v>
      </c>
    </row>
    <row r="819" spans="11:11" x14ac:dyDescent="0.45">
      <c r="K819">
        <v>42521.588727154427</v>
      </c>
    </row>
    <row r="820" spans="11:11" x14ac:dyDescent="0.45">
      <c r="K820">
        <v>20329.815666504015</v>
      </c>
    </row>
    <row r="821" spans="11:11" x14ac:dyDescent="0.45">
      <c r="K821">
        <v>51422.879770074345</v>
      </c>
    </row>
    <row r="822" spans="11:11" x14ac:dyDescent="0.45">
      <c r="K822">
        <v>25455.080205056594</v>
      </c>
    </row>
    <row r="823" spans="11:11" x14ac:dyDescent="0.45">
      <c r="K823">
        <v>21656.955205689366</v>
      </c>
    </row>
    <row r="824" spans="11:11" x14ac:dyDescent="0.45">
      <c r="K824">
        <v>20692.339432647641</v>
      </c>
    </row>
    <row r="825" spans="11:11" x14ac:dyDescent="0.45">
      <c r="K825">
        <v>28837.076567210523</v>
      </c>
    </row>
    <row r="826" spans="11:11" x14ac:dyDescent="0.45">
      <c r="K826">
        <v>40599.094334992122</v>
      </c>
    </row>
    <row r="827" spans="11:11" x14ac:dyDescent="0.45">
      <c r="K827">
        <v>68097.338903310912</v>
      </c>
    </row>
    <row r="828" spans="11:11" x14ac:dyDescent="0.45">
      <c r="K828">
        <v>44118.660432252116</v>
      </c>
    </row>
    <row r="829" spans="11:11" x14ac:dyDescent="0.45">
      <c r="K829">
        <v>43982.791998824425</v>
      </c>
    </row>
    <row r="830" spans="11:11" x14ac:dyDescent="0.45">
      <c r="K830">
        <v>27454.633840780381</v>
      </c>
    </row>
    <row r="831" spans="11:11" x14ac:dyDescent="0.45">
      <c r="K831">
        <v>41621.291902193247</v>
      </c>
    </row>
    <row r="832" spans="11:11" x14ac:dyDescent="0.45">
      <c r="K832">
        <v>29710.539710986432</v>
      </c>
    </row>
    <row r="833" spans="11:11" x14ac:dyDescent="0.45">
      <c r="K833">
        <v>15947.64160503894</v>
      </c>
    </row>
    <row r="834" spans="11:11" x14ac:dyDescent="0.45">
      <c r="K834">
        <v>9753.8990220796441</v>
      </c>
    </row>
    <row r="835" spans="11:11" x14ac:dyDescent="0.45">
      <c r="K835">
        <v>28969.925245599272</v>
      </c>
    </row>
    <row r="836" spans="11:11" x14ac:dyDescent="0.45">
      <c r="K836">
        <v>30253.804021105276</v>
      </c>
    </row>
    <row r="837" spans="11:11" x14ac:dyDescent="0.45">
      <c r="K837">
        <v>37797.461960476474</v>
      </c>
    </row>
    <row r="838" spans="11:11" x14ac:dyDescent="0.45">
      <c r="K838">
        <v>38882.252513379259</v>
      </c>
    </row>
    <row r="839" spans="11:11" x14ac:dyDescent="0.45">
      <c r="K839">
        <v>28047.534715460606</v>
      </c>
    </row>
    <row r="840" spans="11:11" x14ac:dyDescent="0.45">
      <c r="K840">
        <v>18436.468958037716</v>
      </c>
    </row>
    <row r="841" spans="11:11" x14ac:dyDescent="0.45">
      <c r="K841">
        <v>26600.218870025899</v>
      </c>
    </row>
    <row r="842" spans="11:11" x14ac:dyDescent="0.45">
      <c r="K842">
        <v>50721.102095338472</v>
      </c>
    </row>
    <row r="843" spans="11:11" x14ac:dyDescent="0.45">
      <c r="K843">
        <v>47635.651376113332</v>
      </c>
    </row>
    <row r="844" spans="11:11" x14ac:dyDescent="0.45">
      <c r="K844">
        <v>23645.2545459426</v>
      </c>
    </row>
    <row r="845" spans="11:11" x14ac:dyDescent="0.45">
      <c r="K845">
        <v>41776.061639672713</v>
      </c>
    </row>
    <row r="846" spans="11:11" x14ac:dyDescent="0.45">
      <c r="K846">
        <v>15347.592563577535</v>
      </c>
    </row>
    <row r="847" spans="11:11" x14ac:dyDescent="0.45">
      <c r="K847">
        <v>42897.360934094555</v>
      </c>
    </row>
    <row r="848" spans="11:11" x14ac:dyDescent="0.45">
      <c r="K848">
        <v>41701.085256414088</v>
      </c>
    </row>
    <row r="849" spans="11:11" x14ac:dyDescent="0.45">
      <c r="K849">
        <v>37057.584506005478</v>
      </c>
    </row>
    <row r="850" spans="11:11" x14ac:dyDescent="0.45">
      <c r="K850">
        <v>23428.917942220676</v>
      </c>
    </row>
    <row r="851" spans="11:11" x14ac:dyDescent="0.45">
      <c r="K851">
        <v>33218.616553015825</v>
      </c>
    </row>
    <row r="852" spans="11:11" x14ac:dyDescent="0.45">
      <c r="K852">
        <v>31940.923441337261</v>
      </c>
    </row>
    <row r="853" spans="11:11" x14ac:dyDescent="0.45">
      <c r="K853">
        <v>39820.363064657344</v>
      </c>
    </row>
    <row r="854" spans="11:11" x14ac:dyDescent="0.45">
      <c r="K854">
        <v>34531.546352809921</v>
      </c>
    </row>
    <row r="855" spans="11:11" x14ac:dyDescent="0.45">
      <c r="K855">
        <v>41508.328203481666</v>
      </c>
    </row>
    <row r="856" spans="11:11" x14ac:dyDescent="0.45">
      <c r="K856">
        <v>37522.913700984311</v>
      </c>
    </row>
    <row r="857" spans="11:11" x14ac:dyDescent="0.45">
      <c r="K857">
        <v>19221.510365223599</v>
      </c>
    </row>
    <row r="858" spans="11:11" x14ac:dyDescent="0.45">
      <c r="K858">
        <v>36496.756456994255</v>
      </c>
    </row>
    <row r="859" spans="11:11" x14ac:dyDescent="0.45">
      <c r="K859">
        <v>23840.080004494004</v>
      </c>
    </row>
    <row r="860" spans="11:11" x14ac:dyDescent="0.45">
      <c r="K860">
        <v>19071.322320420993</v>
      </c>
    </row>
    <row r="861" spans="11:11" x14ac:dyDescent="0.45">
      <c r="K861">
        <v>29357.210189462108</v>
      </c>
    </row>
    <row r="862" spans="11:11" x14ac:dyDescent="0.45">
      <c r="K862">
        <v>43757.102771696031</v>
      </c>
    </row>
    <row r="863" spans="11:11" x14ac:dyDescent="0.45">
      <c r="K863">
        <v>43775.821833577815</v>
      </c>
    </row>
    <row r="864" spans="11:11" x14ac:dyDescent="0.45">
      <c r="K864">
        <v>22814.577237748883</v>
      </c>
    </row>
    <row r="865" spans="11:11" x14ac:dyDescent="0.45">
      <c r="K865">
        <v>37178.792571444115</v>
      </c>
    </row>
    <row r="866" spans="11:11" x14ac:dyDescent="0.45">
      <c r="K866">
        <v>27859.155872833748</v>
      </c>
    </row>
    <row r="867" spans="11:11" x14ac:dyDescent="0.45">
      <c r="K867">
        <v>41952.955094466197</v>
      </c>
    </row>
    <row r="868" spans="11:11" x14ac:dyDescent="0.45">
      <c r="K868">
        <v>18355.566208272532</v>
      </c>
    </row>
    <row r="869" spans="11:11" x14ac:dyDescent="0.45">
      <c r="K869">
        <v>36830.185908444539</v>
      </c>
    </row>
    <row r="870" spans="11:11" x14ac:dyDescent="0.45">
      <c r="K870">
        <v>40347.187859259633</v>
      </c>
    </row>
    <row r="871" spans="11:11" x14ac:dyDescent="0.45">
      <c r="K871">
        <v>31101.379676093697</v>
      </c>
    </row>
    <row r="872" spans="11:11" x14ac:dyDescent="0.45">
      <c r="K872">
        <v>52369.744526635113</v>
      </c>
    </row>
    <row r="873" spans="11:11" x14ac:dyDescent="0.45">
      <c r="K873">
        <v>20542.740433189974</v>
      </c>
    </row>
    <row r="874" spans="11:11" x14ac:dyDescent="0.45">
      <c r="K874">
        <v>39145.862891147044</v>
      </c>
    </row>
    <row r="875" spans="11:11" x14ac:dyDescent="0.45">
      <c r="K875">
        <v>32361.7346839532</v>
      </c>
    </row>
    <row r="876" spans="11:11" x14ac:dyDescent="0.45">
      <c r="K876">
        <v>27088.952238928632</v>
      </c>
    </row>
    <row r="877" spans="11:11" x14ac:dyDescent="0.45">
      <c r="K877">
        <v>49795.604948628563</v>
      </c>
    </row>
    <row r="878" spans="11:11" x14ac:dyDescent="0.45">
      <c r="K878">
        <v>33680.389361204107</v>
      </c>
    </row>
    <row r="879" spans="11:11" x14ac:dyDescent="0.45">
      <c r="K879">
        <v>39215.694353160303</v>
      </c>
    </row>
    <row r="880" spans="11:11" x14ac:dyDescent="0.45">
      <c r="K880">
        <v>35415.901786319329</v>
      </c>
    </row>
    <row r="881" spans="11:11" x14ac:dyDescent="0.45">
      <c r="K881">
        <v>31761.892288279789</v>
      </c>
    </row>
    <row r="882" spans="11:11" x14ac:dyDescent="0.45">
      <c r="K882">
        <v>50966.843002261827</v>
      </c>
    </row>
    <row r="883" spans="11:11" x14ac:dyDescent="0.45">
      <c r="K883">
        <v>25771.09783928877</v>
      </c>
    </row>
    <row r="884" spans="11:11" x14ac:dyDescent="0.45">
      <c r="K884">
        <v>29700.359992007187</v>
      </c>
    </row>
    <row r="885" spans="11:11" x14ac:dyDescent="0.45">
      <c r="K885">
        <v>22782.71342013422</v>
      </c>
    </row>
    <row r="886" spans="11:11" x14ac:dyDescent="0.45">
      <c r="K886">
        <v>48968.638700670635</v>
      </c>
    </row>
    <row r="887" spans="11:11" x14ac:dyDescent="0.45">
      <c r="K887">
        <v>21970.649735068866</v>
      </c>
    </row>
    <row r="888" spans="11:11" x14ac:dyDescent="0.45">
      <c r="K888">
        <v>15395.310805227895</v>
      </c>
    </row>
    <row r="889" spans="11:11" x14ac:dyDescent="0.45">
      <c r="K889">
        <v>28452.166846394321</v>
      </c>
    </row>
    <row r="890" spans="11:11" x14ac:dyDescent="0.45">
      <c r="K890">
        <v>33183.079238271981</v>
      </c>
    </row>
    <row r="891" spans="11:11" x14ac:dyDescent="0.45">
      <c r="K891">
        <v>17118.811962899941</v>
      </c>
    </row>
    <row r="892" spans="11:11" x14ac:dyDescent="0.45">
      <c r="K892">
        <v>54346.833373490437</v>
      </c>
    </row>
    <row r="893" spans="11:11" x14ac:dyDescent="0.45">
      <c r="K893">
        <v>27120.822015242411</v>
      </c>
    </row>
    <row r="894" spans="11:11" x14ac:dyDescent="0.45">
      <c r="K894">
        <v>40362.968039190673</v>
      </c>
    </row>
    <row r="895" spans="11:11" x14ac:dyDescent="0.45">
      <c r="K895">
        <v>10322.707350467812</v>
      </c>
    </row>
    <row r="896" spans="11:11" x14ac:dyDescent="0.45">
      <c r="K896">
        <v>44106.768804779858</v>
      </c>
    </row>
    <row r="897" spans="11:11" x14ac:dyDescent="0.45">
      <c r="K897">
        <v>32900.55448618759</v>
      </c>
    </row>
    <row r="898" spans="11:11" x14ac:dyDescent="0.45">
      <c r="K898">
        <v>22103.204312207374</v>
      </c>
    </row>
    <row r="899" spans="11:11" x14ac:dyDescent="0.45">
      <c r="K899">
        <v>55330.874293734872</v>
      </c>
    </row>
    <row r="900" spans="11:11" x14ac:dyDescent="0.45">
      <c r="K900">
        <v>26407.239989551126</v>
      </c>
    </row>
    <row r="901" spans="11:11" x14ac:dyDescent="0.45">
      <c r="K901">
        <v>17460.470889323711</v>
      </c>
    </row>
    <row r="902" spans="11:11" x14ac:dyDescent="0.45">
      <c r="K902">
        <v>40020.035204384782</v>
      </c>
    </row>
    <row r="903" spans="11:11" x14ac:dyDescent="0.45">
      <c r="K903">
        <v>45100.855194395328</v>
      </c>
    </row>
    <row r="904" spans="11:11" x14ac:dyDescent="0.45">
      <c r="K904">
        <v>32619.445298959767</v>
      </c>
    </row>
    <row r="905" spans="11:11" x14ac:dyDescent="0.45">
      <c r="K905">
        <v>31944.000794708736</v>
      </c>
    </row>
    <row r="906" spans="11:11" x14ac:dyDescent="0.45">
      <c r="K906">
        <v>21375.65355579718</v>
      </c>
    </row>
    <row r="907" spans="11:11" x14ac:dyDescent="0.45">
      <c r="K907">
        <v>34824.201735400857</v>
      </c>
    </row>
    <row r="908" spans="11:11" x14ac:dyDescent="0.45">
      <c r="K908">
        <v>20368.157130717831</v>
      </c>
    </row>
    <row r="909" spans="11:11" x14ac:dyDescent="0.45">
      <c r="K909">
        <v>19034.346071652351</v>
      </c>
    </row>
    <row r="910" spans="11:11" x14ac:dyDescent="0.45">
      <c r="K910">
        <v>30905.736906071128</v>
      </c>
    </row>
    <row r="911" spans="11:11" x14ac:dyDescent="0.45">
      <c r="K911">
        <v>31179.922817113118</v>
      </c>
    </row>
    <row r="912" spans="11:11" x14ac:dyDescent="0.45">
      <c r="K912">
        <v>29247.527243120687</v>
      </c>
    </row>
    <row r="913" spans="11:11" x14ac:dyDescent="0.45">
      <c r="K913">
        <v>39419.195798766188</v>
      </c>
    </row>
    <row r="914" spans="11:11" x14ac:dyDescent="0.45">
      <c r="K914">
        <v>22996.134731429531</v>
      </c>
    </row>
    <row r="915" spans="11:11" x14ac:dyDescent="0.45">
      <c r="K915">
        <v>51939.579525772693</v>
      </c>
    </row>
    <row r="916" spans="11:11" x14ac:dyDescent="0.45">
      <c r="K916">
        <v>20199.108842865426</v>
      </c>
    </row>
    <row r="917" spans="11:11" x14ac:dyDescent="0.45">
      <c r="K917">
        <v>12222.901077777733</v>
      </c>
    </row>
    <row r="918" spans="11:11" x14ac:dyDescent="0.45">
      <c r="K918">
        <v>48184.485205475372</v>
      </c>
    </row>
    <row r="919" spans="11:11" x14ac:dyDescent="0.45">
      <c r="K919">
        <v>32560.010814681082</v>
      </c>
    </row>
    <row r="920" spans="11:11" x14ac:dyDescent="0.45">
      <c r="K920">
        <v>31720.065694399498</v>
      </c>
    </row>
    <row r="921" spans="11:11" x14ac:dyDescent="0.45">
      <c r="K921">
        <v>35309.140718374721</v>
      </c>
    </row>
    <row r="922" spans="11:11" x14ac:dyDescent="0.45">
      <c r="K922">
        <v>39516.846903278914</v>
      </c>
    </row>
    <row r="923" spans="11:11" x14ac:dyDescent="0.45">
      <c r="K923">
        <v>32966.328376827318</v>
      </c>
    </row>
    <row r="924" spans="11:11" x14ac:dyDescent="0.45">
      <c r="K924">
        <v>29100.170324945004</v>
      </c>
    </row>
    <row r="925" spans="11:11" x14ac:dyDescent="0.45">
      <c r="K925">
        <v>27614.319273766348</v>
      </c>
    </row>
    <row r="926" spans="11:11" x14ac:dyDescent="0.45">
      <c r="K926">
        <v>39157.40268337648</v>
      </c>
    </row>
    <row r="927" spans="11:11" x14ac:dyDescent="0.45">
      <c r="K927">
        <v>32387.717468086663</v>
      </c>
    </row>
    <row r="928" spans="11:11" x14ac:dyDescent="0.45">
      <c r="K928">
        <v>36986.087286021422</v>
      </c>
    </row>
    <row r="929" spans="11:11" x14ac:dyDescent="0.45">
      <c r="K929">
        <v>49495.97397318788</v>
      </c>
    </row>
    <row r="930" spans="11:11" x14ac:dyDescent="0.45">
      <c r="K930">
        <v>28306.67239343129</v>
      </c>
    </row>
    <row r="931" spans="11:11" x14ac:dyDescent="0.45">
      <c r="K931">
        <v>42256.816278680926</v>
      </c>
    </row>
    <row r="932" spans="11:11" x14ac:dyDescent="0.45">
      <c r="K932">
        <v>26579.158651485806</v>
      </c>
    </row>
    <row r="933" spans="11:11" x14ac:dyDescent="0.45">
      <c r="K933">
        <v>36414.109461919572</v>
      </c>
    </row>
    <row r="934" spans="11:11" x14ac:dyDescent="0.45">
      <c r="K934">
        <v>14166.315315809054</v>
      </c>
    </row>
    <row r="935" spans="11:11" x14ac:dyDescent="0.45">
      <c r="K935">
        <v>28218.245866580433</v>
      </c>
    </row>
    <row r="936" spans="11:11" x14ac:dyDescent="0.45">
      <c r="K936">
        <v>35666.906818334617</v>
      </c>
    </row>
    <row r="937" spans="11:11" x14ac:dyDescent="0.45">
      <c r="K937">
        <v>51098.635060700559</v>
      </c>
    </row>
    <row r="938" spans="11:11" x14ac:dyDescent="0.45">
      <c r="K938">
        <v>34492.858880364045</v>
      </c>
    </row>
    <row r="939" spans="11:11" x14ac:dyDescent="0.45">
      <c r="K939">
        <v>26331.862925196314</v>
      </c>
    </row>
    <row r="940" spans="11:11" x14ac:dyDescent="0.45">
      <c r="K940">
        <v>27803.044453896226</v>
      </c>
    </row>
    <row r="941" spans="11:11" x14ac:dyDescent="0.45">
      <c r="K941">
        <v>31296.290503269887</v>
      </c>
    </row>
    <row r="942" spans="11:11" x14ac:dyDescent="0.45">
      <c r="K942">
        <v>32489.953613156413</v>
      </c>
    </row>
    <row r="943" spans="11:11" x14ac:dyDescent="0.45">
      <c r="K943">
        <v>36341.971841335668</v>
      </c>
    </row>
    <row r="944" spans="11:11" x14ac:dyDescent="0.45">
      <c r="K944">
        <v>40311.976784880288</v>
      </c>
    </row>
    <row r="945" spans="11:11" x14ac:dyDescent="0.45">
      <c r="K945">
        <v>32057.193273147961</v>
      </c>
    </row>
    <row r="946" spans="11:11" x14ac:dyDescent="0.45">
      <c r="K946">
        <v>17533.92818822962</v>
      </c>
    </row>
    <row r="947" spans="11:11" x14ac:dyDescent="0.45">
      <c r="K947">
        <v>34835.860691316593</v>
      </c>
    </row>
    <row r="948" spans="11:11" x14ac:dyDescent="0.45">
      <c r="K948">
        <v>19318.385724627962</v>
      </c>
    </row>
    <row r="949" spans="11:11" x14ac:dyDescent="0.45">
      <c r="K949">
        <v>27356.799835339792</v>
      </c>
    </row>
    <row r="950" spans="11:11" x14ac:dyDescent="0.45">
      <c r="K950">
        <v>29577.820009259784</v>
      </c>
    </row>
    <row r="951" spans="11:11" x14ac:dyDescent="0.45">
      <c r="K951">
        <v>38500.854281475178</v>
      </c>
    </row>
    <row r="952" spans="11:11" x14ac:dyDescent="0.45">
      <c r="K952">
        <v>45065.845394788434</v>
      </c>
    </row>
    <row r="953" spans="11:11" x14ac:dyDescent="0.45">
      <c r="K953">
        <v>35301.115237718652</v>
      </c>
    </row>
    <row r="954" spans="11:11" x14ac:dyDescent="0.45">
      <c r="K954">
        <v>30474.475117636746</v>
      </c>
    </row>
    <row r="955" spans="11:11" x14ac:dyDescent="0.45">
      <c r="K955">
        <v>38675.798879219925</v>
      </c>
    </row>
    <row r="956" spans="11:11" x14ac:dyDescent="0.45">
      <c r="K956">
        <v>45008.348237801401</v>
      </c>
    </row>
    <row r="957" spans="11:11" x14ac:dyDescent="0.45">
      <c r="K957">
        <v>7029.6902857519744</v>
      </c>
    </row>
    <row r="958" spans="11:11" x14ac:dyDescent="0.45">
      <c r="K958">
        <v>25294.142853016107</v>
      </c>
    </row>
    <row r="959" spans="11:11" x14ac:dyDescent="0.45">
      <c r="K959">
        <v>28162.750780367795</v>
      </c>
    </row>
    <row r="960" spans="11:11" x14ac:dyDescent="0.45">
      <c r="K960">
        <v>25089.516178742088</v>
      </c>
    </row>
    <row r="961" spans="11:11" x14ac:dyDescent="0.45">
      <c r="K961">
        <v>43605.639479984777</v>
      </c>
    </row>
    <row r="962" spans="11:11" x14ac:dyDescent="0.45">
      <c r="K962">
        <v>39500.177377988533</v>
      </c>
    </row>
    <row r="963" spans="11:11" x14ac:dyDescent="0.45">
      <c r="K963">
        <v>37289.920878704244</v>
      </c>
    </row>
    <row r="964" spans="11:11" x14ac:dyDescent="0.45">
      <c r="K964">
        <v>20444.291503322514</v>
      </c>
    </row>
    <row r="965" spans="11:11" x14ac:dyDescent="0.45">
      <c r="K965">
        <v>28486.433201037111</v>
      </c>
    </row>
    <row r="966" spans="11:11" x14ac:dyDescent="0.45">
      <c r="K966">
        <v>38863.396164036036</v>
      </c>
    </row>
    <row r="967" spans="11:11" x14ac:dyDescent="0.45">
      <c r="K967">
        <v>33870.795697613343</v>
      </c>
    </row>
    <row r="968" spans="11:11" x14ac:dyDescent="0.45">
      <c r="K968">
        <v>43804.957349553253</v>
      </c>
    </row>
    <row r="969" spans="11:11" x14ac:dyDescent="0.45">
      <c r="K969">
        <v>15685.998511067963</v>
      </c>
    </row>
    <row r="970" spans="11:11" x14ac:dyDescent="0.45">
      <c r="K970">
        <v>18658.342073209642</v>
      </c>
    </row>
    <row r="971" spans="11:11" x14ac:dyDescent="0.45">
      <c r="K971">
        <v>27173.226863336036</v>
      </c>
    </row>
    <row r="972" spans="11:11" x14ac:dyDescent="0.45">
      <c r="K972">
        <v>34841.896122797087</v>
      </c>
    </row>
    <row r="973" spans="11:11" x14ac:dyDescent="0.45">
      <c r="K973">
        <v>24678.693108969252</v>
      </c>
    </row>
    <row r="974" spans="11:11" x14ac:dyDescent="0.45">
      <c r="K974">
        <v>21836.118061679008</v>
      </c>
    </row>
    <row r="975" spans="11:11" x14ac:dyDescent="0.45">
      <c r="K975">
        <v>46931.152659203282</v>
      </c>
    </row>
    <row r="976" spans="11:11" x14ac:dyDescent="0.45">
      <c r="K976">
        <v>22485.260488890985</v>
      </c>
    </row>
    <row r="977" spans="11:11" x14ac:dyDescent="0.45">
      <c r="K977">
        <v>18175.791018191139</v>
      </c>
    </row>
    <row r="978" spans="11:11" x14ac:dyDescent="0.45">
      <c r="K978">
        <v>19584.868399333402</v>
      </c>
    </row>
    <row r="979" spans="11:11" x14ac:dyDescent="0.45">
      <c r="K979">
        <v>29796.640451734005</v>
      </c>
    </row>
    <row r="980" spans="11:11" x14ac:dyDescent="0.45">
      <c r="K980">
        <v>24589.176859513256</v>
      </c>
    </row>
    <row r="981" spans="11:11" x14ac:dyDescent="0.45">
      <c r="K981">
        <v>21663.743533631423</v>
      </c>
    </row>
    <row r="982" spans="11:11" x14ac:dyDescent="0.45">
      <c r="K982">
        <v>17913.035385186333</v>
      </c>
    </row>
    <row r="983" spans="11:11" x14ac:dyDescent="0.45">
      <c r="K983">
        <v>32407.860651781262</v>
      </c>
    </row>
    <row r="984" spans="11:11" x14ac:dyDescent="0.45">
      <c r="K984">
        <v>31275.425202142102</v>
      </c>
    </row>
    <row r="985" spans="11:11" x14ac:dyDescent="0.45">
      <c r="K985">
        <v>21395.416513700668</v>
      </c>
    </row>
    <row r="986" spans="11:11" x14ac:dyDescent="0.45">
      <c r="K986">
        <v>39241.788750307889</v>
      </c>
    </row>
    <row r="987" spans="11:11" x14ac:dyDescent="0.45">
      <c r="K987">
        <v>18673.257910113571</v>
      </c>
    </row>
    <row r="988" spans="11:11" x14ac:dyDescent="0.45">
      <c r="K988">
        <v>26147.012911014193</v>
      </c>
    </row>
    <row r="989" spans="11:11" x14ac:dyDescent="0.45">
      <c r="K989">
        <v>28328.873337591187</v>
      </c>
    </row>
    <row r="990" spans="11:11" x14ac:dyDescent="0.45">
      <c r="K990">
        <v>27888.561136954791</v>
      </c>
    </row>
    <row r="991" spans="11:11" x14ac:dyDescent="0.45">
      <c r="K991">
        <v>34644.652933001271</v>
      </c>
    </row>
    <row r="992" spans="11:11" x14ac:dyDescent="0.45">
      <c r="K992">
        <v>27038.753580133278</v>
      </c>
    </row>
    <row r="993" spans="11:11" x14ac:dyDescent="0.45">
      <c r="K993">
        <v>51373.937412905711</v>
      </c>
    </row>
    <row r="994" spans="11:11" x14ac:dyDescent="0.45">
      <c r="K994">
        <v>15826.048452997084</v>
      </c>
    </row>
    <row r="995" spans="11:11" x14ac:dyDescent="0.45">
      <c r="K995">
        <v>16652.10678498535</v>
      </c>
    </row>
    <row r="996" spans="11:11" x14ac:dyDescent="0.45">
      <c r="K996">
        <v>38376.153605063133</v>
      </c>
    </row>
    <row r="997" spans="11:11" x14ac:dyDescent="0.45">
      <c r="K997">
        <v>41872.778031540482</v>
      </c>
    </row>
    <row r="998" spans="11:11" x14ac:dyDescent="0.45">
      <c r="K998">
        <v>26601.155978207706</v>
      </c>
    </row>
    <row r="999" spans="11:11" x14ac:dyDescent="0.45">
      <c r="K999">
        <v>40787.815980805717</v>
      </c>
    </row>
    <row r="1000" spans="11:11" x14ac:dyDescent="0.45">
      <c r="K1000">
        <v>43556.010960089377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7ACB3-1CDB-4440-9162-5DC89D5EEA05}">
  <sheetPr codeName="Sheet5"/>
  <dimension ref="A1:Q1000"/>
  <sheetViews>
    <sheetView workbookViewId="0">
      <selection activeCell="C25" sqref="C25"/>
    </sheetView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9941.5970589830595</v>
      </c>
      <c r="M1" s="1">
        <f>AVERAGE(K1:K10000)</f>
        <v>25919.540918744904</v>
      </c>
    </row>
    <row r="2" spans="1:17" x14ac:dyDescent="0.45">
      <c r="C2" t="s">
        <v>0</v>
      </c>
      <c r="D2" t="s">
        <v>1</v>
      </c>
      <c r="K2">
        <v>32032.616497387</v>
      </c>
      <c r="M2" s="1">
        <f>_xlfn.STDEV.S(K1:K10000)</f>
        <v>8270.281214145898</v>
      </c>
    </row>
    <row r="3" spans="1:17" x14ac:dyDescent="0.45">
      <c r="B3" t="s">
        <v>8</v>
      </c>
      <c r="C3" s="1">
        <v>25772</v>
      </c>
      <c r="D3" s="1">
        <v>8054</v>
      </c>
      <c r="H3">
        <v>16066.820122502126</v>
      </c>
      <c r="K3">
        <v>25200.430230210124</v>
      </c>
      <c r="O3" s="3"/>
      <c r="P3" s="4"/>
      <c r="Q3" s="5"/>
    </row>
    <row r="4" spans="1:17" x14ac:dyDescent="0.45">
      <c r="H4">
        <v>7567.7319386461604</v>
      </c>
      <c r="K4">
        <v>23258.149714233634</v>
      </c>
      <c r="O4" s="6"/>
      <c r="P4" s="7"/>
      <c r="Q4" s="8"/>
    </row>
    <row r="5" spans="1:17" x14ac:dyDescent="0.45">
      <c r="B5" t="s">
        <v>2</v>
      </c>
      <c r="C5" s="1">
        <f ca="1">_xlfn.NORM.INV(RAND(),C3,D3)</f>
        <v>24728.182330791231</v>
      </c>
      <c r="K5">
        <v>14695.386360576103</v>
      </c>
      <c r="O5" s="6"/>
      <c r="P5" s="7"/>
      <c r="Q5" s="8"/>
    </row>
    <row r="6" spans="1:17" x14ac:dyDescent="0.45">
      <c r="K6">
        <v>27619.253885857586</v>
      </c>
      <c r="O6" s="6"/>
      <c r="P6" s="7"/>
      <c r="Q6" s="8"/>
    </row>
    <row r="7" spans="1:17" x14ac:dyDescent="0.45">
      <c r="E7" s="1">
        <f ca="1">_xlfn.NORM.INV(RAND(),$C$3,$D$3)</f>
        <v>24641.804373954394</v>
      </c>
      <c r="F7" s="1">
        <f t="shared" ref="F7:I7" ca="1" si="0">_xlfn.NORM.INV(RAND(),$C$3,$D$3)</f>
        <v>31950.389283666347</v>
      </c>
      <c r="G7" s="1">
        <f t="shared" ca="1" si="0"/>
        <v>21461.498860581512</v>
      </c>
      <c r="H7" s="1">
        <f t="shared" ca="1" si="0"/>
        <v>32828.064889428439</v>
      </c>
      <c r="I7" s="1">
        <f t="shared" ca="1" si="0"/>
        <v>26845.656653319191</v>
      </c>
      <c r="K7">
        <v>18573.966356560293</v>
      </c>
      <c r="O7" s="6"/>
      <c r="P7" s="7"/>
      <c r="Q7" s="8"/>
    </row>
    <row r="8" spans="1:17" x14ac:dyDescent="0.45">
      <c r="B8" t="s">
        <v>3</v>
      </c>
      <c r="C8">
        <v>1000</v>
      </c>
      <c r="K8">
        <v>21373.683682148483</v>
      </c>
      <c r="O8" s="6"/>
      <c r="P8" s="7"/>
      <c r="Q8" s="8"/>
    </row>
    <row r="9" spans="1:17" x14ac:dyDescent="0.45">
      <c r="B9" t="s">
        <v>4</v>
      </c>
      <c r="C9">
        <v>1000</v>
      </c>
      <c r="K9">
        <v>15511.738778146198</v>
      </c>
      <c r="O9" s="6"/>
      <c r="P9" s="7"/>
      <c r="Q9" s="8"/>
    </row>
    <row r="10" spans="1:17" x14ac:dyDescent="0.45">
      <c r="B10" t="s">
        <v>6</v>
      </c>
      <c r="C10" s="1">
        <f>MAX(K:K)</f>
        <v>49777.524322560283</v>
      </c>
      <c r="K10">
        <v>19993.070297556842</v>
      </c>
      <c r="O10" s="6"/>
      <c r="P10" s="7"/>
      <c r="Q10" s="8"/>
    </row>
    <row r="11" spans="1:17" x14ac:dyDescent="0.45">
      <c r="B11" t="s">
        <v>5</v>
      </c>
      <c r="C11" s="1">
        <f>MIN(K:K)</f>
        <v>0</v>
      </c>
      <c r="E11" s="1">
        <f>ROUNDDOWN((C10-C11)/100,0)</f>
        <v>497</v>
      </c>
      <c r="K11">
        <v>26742.446193842814</v>
      </c>
      <c r="O11" s="6"/>
      <c r="P11" s="7"/>
      <c r="Q11" s="8"/>
    </row>
    <row r="12" spans="1:17" x14ac:dyDescent="0.45">
      <c r="K12">
        <v>37124.763881958344</v>
      </c>
      <c r="O12" s="6"/>
      <c r="P12" s="7"/>
      <c r="Q12" s="8"/>
    </row>
    <row r="13" spans="1:17" x14ac:dyDescent="0.45">
      <c r="A13" s="1">
        <f>ROUNDDOWN(C11,0)</f>
        <v>0</v>
      </c>
      <c r="B13">
        <f>COUNTIFS($K$1:$K$1000,"&gt;="&amp; A13,$K$1:$K$1000,"&lt;"&amp; A14)</f>
        <v>1</v>
      </c>
      <c r="C13" s="2"/>
      <c r="K13">
        <v>16056.176176640929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995.55048645120564</v>
      </c>
      <c r="B14">
        <f t="shared" ref="B14:B63" si="1">COUNTIFS($K$1:$K$1000,"&gt;="&amp; A14,$K$1:$K$1000,"&lt;"&amp; A15)</f>
        <v>0</v>
      </c>
      <c r="C14" s="2"/>
      <c r="K14">
        <v>14875.971554648257</v>
      </c>
      <c r="O14" s="6"/>
      <c r="P14" s="7"/>
      <c r="Q14" s="8"/>
    </row>
    <row r="15" spans="1:17" x14ac:dyDescent="0.45">
      <c r="A15" s="1">
        <f t="shared" ref="A15:A63" si="2">IF(A14+($C$10-$C$11)/50&lt;=$C$10,A14+($C$10-$C$11)/50,MAX(A14+($C$10-$C$11)/50,$C$10))</f>
        <v>1991.1009729024113</v>
      </c>
      <c r="B15">
        <f t="shared" si="1"/>
        <v>0</v>
      </c>
      <c r="C15" s="2"/>
      <c r="K15">
        <v>15868.337094574656</v>
      </c>
      <c r="O15" s="6"/>
      <c r="P15" s="7"/>
      <c r="Q15" s="8"/>
    </row>
    <row r="16" spans="1:17" x14ac:dyDescent="0.45">
      <c r="A16" s="1">
        <f t="shared" si="2"/>
        <v>2986.6514593536167</v>
      </c>
      <c r="B16">
        <f t="shared" si="1"/>
        <v>2</v>
      </c>
      <c r="C16" s="2"/>
      <c r="K16">
        <v>18783.758809964882</v>
      </c>
      <c r="O16" s="6"/>
      <c r="P16" s="7"/>
      <c r="Q16" s="8"/>
    </row>
    <row r="17" spans="1:17" x14ac:dyDescent="0.45">
      <c r="A17" s="1">
        <f t="shared" si="2"/>
        <v>3982.2019458048226</v>
      </c>
      <c r="B17">
        <f t="shared" si="1"/>
        <v>4</v>
      </c>
      <c r="C17" s="2"/>
      <c r="K17">
        <v>6775.6070546954033</v>
      </c>
      <c r="O17" s="6"/>
      <c r="P17" s="7"/>
      <c r="Q17" s="8"/>
    </row>
    <row r="18" spans="1:17" x14ac:dyDescent="0.45">
      <c r="A18" s="1">
        <f t="shared" si="2"/>
        <v>4977.7524322560284</v>
      </c>
      <c r="B18">
        <f t="shared" si="1"/>
        <v>4</v>
      </c>
      <c r="C18" s="2"/>
      <c r="K18">
        <v>19727.827729529537</v>
      </c>
      <c r="O18" s="6"/>
      <c r="P18" s="7"/>
      <c r="Q18" s="8"/>
    </row>
    <row r="19" spans="1:17" x14ac:dyDescent="0.45">
      <c r="A19" s="1">
        <f t="shared" si="2"/>
        <v>5973.3029187072343</v>
      </c>
      <c r="B19">
        <f t="shared" si="1"/>
        <v>3</v>
      </c>
      <c r="C19" s="2"/>
      <c r="K19">
        <v>32884.630986811011</v>
      </c>
      <c r="O19" s="6"/>
      <c r="P19" s="7"/>
      <c r="Q19" s="8"/>
    </row>
    <row r="20" spans="1:17" x14ac:dyDescent="0.45">
      <c r="A20" s="1">
        <f t="shared" si="2"/>
        <v>6968.8534051584402</v>
      </c>
      <c r="B20">
        <f t="shared" si="1"/>
        <v>1</v>
      </c>
      <c r="C20" s="2"/>
      <c r="K20">
        <v>38955.937177540793</v>
      </c>
      <c r="O20" s="9"/>
      <c r="P20" s="10"/>
      <c r="Q20" s="11"/>
    </row>
    <row r="21" spans="1:17" x14ac:dyDescent="0.45">
      <c r="A21" s="1">
        <f t="shared" si="2"/>
        <v>7964.4038916096461</v>
      </c>
      <c r="B21">
        <f t="shared" si="1"/>
        <v>6</v>
      </c>
      <c r="C21" s="2"/>
      <c r="K21">
        <v>26287.540195305086</v>
      </c>
    </row>
    <row r="22" spans="1:17" x14ac:dyDescent="0.45">
      <c r="A22" s="1">
        <f t="shared" si="2"/>
        <v>8959.954378060851</v>
      </c>
      <c r="B22">
        <f t="shared" si="1"/>
        <v>6</v>
      </c>
      <c r="C22" s="2"/>
      <c r="K22">
        <v>35681.057806871395</v>
      </c>
    </row>
    <row r="23" spans="1:17" x14ac:dyDescent="0.45">
      <c r="A23" s="1">
        <f t="shared" si="2"/>
        <v>9955.5048645120569</v>
      </c>
      <c r="B23">
        <f t="shared" si="1"/>
        <v>10</v>
      </c>
      <c r="C23" s="2"/>
      <c r="K23">
        <v>32832.790439077413</v>
      </c>
    </row>
    <row r="24" spans="1:17" x14ac:dyDescent="0.45">
      <c r="A24" s="1">
        <f t="shared" si="2"/>
        <v>10951.055350963263</v>
      </c>
      <c r="B24">
        <f t="shared" si="1"/>
        <v>17</v>
      </c>
      <c r="C24" s="2"/>
      <c r="K24">
        <v>19152.509943197336</v>
      </c>
    </row>
    <row r="25" spans="1:17" x14ac:dyDescent="0.45">
      <c r="A25" s="1">
        <f t="shared" si="2"/>
        <v>11946.605837414469</v>
      </c>
      <c r="B25">
        <f t="shared" si="1"/>
        <v>9</v>
      </c>
      <c r="C25" s="2"/>
      <c r="K25">
        <v>25654.967033710698</v>
      </c>
    </row>
    <row r="26" spans="1:17" x14ac:dyDescent="0.45">
      <c r="A26" s="1">
        <f t="shared" si="2"/>
        <v>12942.156323865674</v>
      </c>
      <c r="B26">
        <f t="shared" si="1"/>
        <v>12</v>
      </c>
      <c r="C26" s="2"/>
      <c r="K26">
        <v>20759.849682541375</v>
      </c>
    </row>
    <row r="27" spans="1:17" x14ac:dyDescent="0.45">
      <c r="A27" s="1">
        <f t="shared" si="2"/>
        <v>13937.70681031688</v>
      </c>
      <c r="B27">
        <f t="shared" si="1"/>
        <v>22</v>
      </c>
      <c r="C27" s="2"/>
      <c r="K27">
        <v>11745.196325643457</v>
      </c>
    </row>
    <row r="28" spans="1:17" x14ac:dyDescent="0.45">
      <c r="A28" s="1">
        <f t="shared" si="2"/>
        <v>14933.257296768086</v>
      </c>
      <c r="B28">
        <f t="shared" si="1"/>
        <v>21</v>
      </c>
      <c r="C28" s="2"/>
      <c r="K28">
        <v>14991.80674205699</v>
      </c>
    </row>
    <row r="29" spans="1:17" x14ac:dyDescent="0.45">
      <c r="A29" s="1">
        <f t="shared" si="2"/>
        <v>15928.807783219292</v>
      </c>
      <c r="B29">
        <f t="shared" si="1"/>
        <v>18</v>
      </c>
      <c r="C29" s="2"/>
      <c r="K29">
        <v>41048.591814116262</v>
      </c>
    </row>
    <row r="30" spans="1:17" x14ac:dyDescent="0.45">
      <c r="A30" s="1">
        <f t="shared" si="2"/>
        <v>16924.358269670498</v>
      </c>
      <c r="B30">
        <f t="shared" si="1"/>
        <v>20</v>
      </c>
      <c r="C30" s="2"/>
      <c r="K30">
        <v>26077.758626307612</v>
      </c>
    </row>
    <row r="31" spans="1:17" x14ac:dyDescent="0.45">
      <c r="A31" s="1">
        <f t="shared" si="2"/>
        <v>17919.908756121702</v>
      </c>
      <c r="B31">
        <f t="shared" si="1"/>
        <v>37</v>
      </c>
      <c r="C31" s="2"/>
      <c r="K31">
        <v>37414.338632735933</v>
      </c>
    </row>
    <row r="32" spans="1:17" x14ac:dyDescent="0.45">
      <c r="A32" s="1">
        <f t="shared" si="2"/>
        <v>18915.459242572906</v>
      </c>
      <c r="B32">
        <f t="shared" si="1"/>
        <v>31</v>
      </c>
      <c r="C32" s="2"/>
      <c r="K32">
        <v>14317.716219901336</v>
      </c>
    </row>
    <row r="33" spans="1:11" x14ac:dyDescent="0.45">
      <c r="A33" s="1">
        <f t="shared" si="2"/>
        <v>19911.00972902411</v>
      </c>
      <c r="B33">
        <f t="shared" si="1"/>
        <v>47</v>
      </c>
      <c r="C33" s="2"/>
      <c r="K33">
        <v>32881.643399240143</v>
      </c>
    </row>
    <row r="34" spans="1:11" x14ac:dyDescent="0.45">
      <c r="A34" s="1">
        <f t="shared" si="2"/>
        <v>20906.560215475314</v>
      </c>
      <c r="B34">
        <f t="shared" si="1"/>
        <v>45</v>
      </c>
      <c r="C34" s="2"/>
      <c r="K34">
        <v>29286.782440889394</v>
      </c>
    </row>
    <row r="35" spans="1:11" x14ac:dyDescent="0.45">
      <c r="A35" s="1">
        <f t="shared" si="2"/>
        <v>21902.110701926518</v>
      </c>
      <c r="B35">
        <f t="shared" si="1"/>
        <v>38</v>
      </c>
      <c r="C35" s="2"/>
      <c r="K35">
        <v>40377.901749717115</v>
      </c>
    </row>
    <row r="36" spans="1:11" x14ac:dyDescent="0.45">
      <c r="A36" s="1">
        <f t="shared" si="2"/>
        <v>22897.661188377722</v>
      </c>
      <c r="B36">
        <f t="shared" si="1"/>
        <v>44</v>
      </c>
      <c r="C36" s="2"/>
      <c r="K36">
        <v>41763.806088853897</v>
      </c>
    </row>
    <row r="37" spans="1:11" x14ac:dyDescent="0.45">
      <c r="A37" s="1">
        <f t="shared" si="2"/>
        <v>23893.211674828926</v>
      </c>
      <c r="B37">
        <f t="shared" si="1"/>
        <v>46</v>
      </c>
      <c r="C37" s="2"/>
      <c r="K37">
        <v>27278.271586406263</v>
      </c>
    </row>
    <row r="38" spans="1:11" x14ac:dyDescent="0.45">
      <c r="A38" s="1">
        <f t="shared" si="2"/>
        <v>24888.76216128013</v>
      </c>
      <c r="B38">
        <f t="shared" si="1"/>
        <v>57</v>
      </c>
      <c r="C38" s="2"/>
      <c r="K38">
        <v>30648.852788024466</v>
      </c>
    </row>
    <row r="39" spans="1:11" x14ac:dyDescent="0.45">
      <c r="A39" s="1">
        <f t="shared" si="2"/>
        <v>25884.312647731334</v>
      </c>
      <c r="B39">
        <f t="shared" si="1"/>
        <v>48</v>
      </c>
      <c r="C39" s="2"/>
      <c r="K39">
        <v>23081.506187252242</v>
      </c>
    </row>
    <row r="40" spans="1:11" x14ac:dyDescent="0.45">
      <c r="A40" s="1">
        <f t="shared" si="2"/>
        <v>26879.863134182538</v>
      </c>
      <c r="B40">
        <f t="shared" si="1"/>
        <v>48</v>
      </c>
      <c r="C40" s="2"/>
      <c r="K40">
        <v>38111.086154370911</v>
      </c>
    </row>
    <row r="41" spans="1:11" x14ac:dyDescent="0.45">
      <c r="A41" s="1">
        <f t="shared" si="2"/>
        <v>27875.413620633743</v>
      </c>
      <c r="B41">
        <f t="shared" si="1"/>
        <v>35</v>
      </c>
      <c r="C41" s="2"/>
      <c r="K41">
        <v>27163.602095398499</v>
      </c>
    </row>
    <row r="42" spans="1:11" x14ac:dyDescent="0.45">
      <c r="A42" s="1">
        <f t="shared" si="2"/>
        <v>28870.964107084947</v>
      </c>
      <c r="B42">
        <f t="shared" si="1"/>
        <v>52</v>
      </c>
      <c r="C42" s="2"/>
      <c r="K42">
        <v>24095.413015466143</v>
      </c>
    </row>
    <row r="43" spans="1:11" x14ac:dyDescent="0.45">
      <c r="A43" s="1">
        <f t="shared" si="2"/>
        <v>29866.514593536151</v>
      </c>
      <c r="B43">
        <f t="shared" si="1"/>
        <v>53</v>
      </c>
      <c r="C43" s="2"/>
      <c r="K43">
        <v>24380.188954612611</v>
      </c>
    </row>
    <row r="44" spans="1:11" x14ac:dyDescent="0.45">
      <c r="A44" s="1">
        <f t="shared" si="2"/>
        <v>30862.065079987355</v>
      </c>
      <c r="B44">
        <f t="shared" si="1"/>
        <v>33</v>
      </c>
      <c r="C44" s="2"/>
      <c r="K44">
        <v>23590.281375165949</v>
      </c>
    </row>
    <row r="45" spans="1:11" x14ac:dyDescent="0.45">
      <c r="A45" s="1">
        <f t="shared" si="2"/>
        <v>31857.615566438559</v>
      </c>
      <c r="B45">
        <f t="shared" si="1"/>
        <v>33</v>
      </c>
      <c r="C45" s="2"/>
      <c r="K45">
        <v>30621.206700880357</v>
      </c>
    </row>
    <row r="46" spans="1:11" x14ac:dyDescent="0.45">
      <c r="A46" s="1">
        <f t="shared" si="2"/>
        <v>32853.166052889763</v>
      </c>
      <c r="B46">
        <f t="shared" si="1"/>
        <v>25</v>
      </c>
      <c r="C46" s="2"/>
      <c r="K46">
        <v>23597.868425354813</v>
      </c>
    </row>
    <row r="47" spans="1:11" x14ac:dyDescent="0.45">
      <c r="A47" s="1">
        <f t="shared" si="2"/>
        <v>33848.716539340967</v>
      </c>
      <c r="B47">
        <f t="shared" si="1"/>
        <v>34</v>
      </c>
      <c r="C47" s="2"/>
      <c r="K47">
        <v>38731.194098107968</v>
      </c>
    </row>
    <row r="48" spans="1:11" x14ac:dyDescent="0.45">
      <c r="A48" s="1">
        <f t="shared" si="2"/>
        <v>34844.267025792171</v>
      </c>
      <c r="B48">
        <f t="shared" si="1"/>
        <v>23</v>
      </c>
      <c r="C48" s="2"/>
      <c r="K48">
        <v>32373.559503289343</v>
      </c>
    </row>
    <row r="49" spans="1:11" x14ac:dyDescent="0.45">
      <c r="A49" s="1">
        <f t="shared" si="2"/>
        <v>35839.817512243375</v>
      </c>
      <c r="B49">
        <f t="shared" si="1"/>
        <v>13</v>
      </c>
      <c r="C49" s="2"/>
      <c r="K49">
        <v>36269.215377627355</v>
      </c>
    </row>
    <row r="50" spans="1:11" x14ac:dyDescent="0.45">
      <c r="A50" s="1">
        <f t="shared" si="2"/>
        <v>36835.367998694579</v>
      </c>
      <c r="B50">
        <f t="shared" si="1"/>
        <v>17</v>
      </c>
      <c r="C50" s="2"/>
      <c r="K50">
        <v>25149.384947940591</v>
      </c>
    </row>
    <row r="51" spans="1:11" x14ac:dyDescent="0.45">
      <c r="A51" s="1">
        <f t="shared" si="2"/>
        <v>37830.918485145783</v>
      </c>
      <c r="B51">
        <f t="shared" si="1"/>
        <v>20</v>
      </c>
      <c r="C51" s="2"/>
      <c r="K51">
        <v>34128.5707341542</v>
      </c>
    </row>
    <row r="52" spans="1:11" x14ac:dyDescent="0.45">
      <c r="A52" s="1">
        <f t="shared" si="2"/>
        <v>38826.468971596987</v>
      </c>
      <c r="B52">
        <f t="shared" si="1"/>
        <v>16</v>
      </c>
      <c r="C52" s="2"/>
      <c r="K52">
        <v>40683.45946576383</v>
      </c>
    </row>
    <row r="53" spans="1:11" x14ac:dyDescent="0.45">
      <c r="A53" s="1">
        <f t="shared" si="2"/>
        <v>39822.019458048191</v>
      </c>
      <c r="B53">
        <f t="shared" si="1"/>
        <v>12</v>
      </c>
      <c r="C53" s="2"/>
      <c r="K53">
        <v>20523.708178736466</v>
      </c>
    </row>
    <row r="54" spans="1:11" x14ac:dyDescent="0.45">
      <c r="A54" s="1">
        <f t="shared" si="2"/>
        <v>40817.569944499395</v>
      </c>
      <c r="B54">
        <f t="shared" si="1"/>
        <v>15</v>
      </c>
      <c r="C54" s="2"/>
      <c r="K54">
        <v>30360.966066199086</v>
      </c>
    </row>
    <row r="55" spans="1:11" x14ac:dyDescent="0.45">
      <c r="A55" s="1">
        <f t="shared" si="2"/>
        <v>41813.120430950599</v>
      </c>
      <c r="B55">
        <f t="shared" si="1"/>
        <v>5</v>
      </c>
      <c r="C55" s="2"/>
      <c r="K55">
        <v>26135.233442147473</v>
      </c>
    </row>
    <row r="56" spans="1:11" x14ac:dyDescent="0.45">
      <c r="A56" s="1">
        <f t="shared" si="2"/>
        <v>42808.670917401803</v>
      </c>
      <c r="B56">
        <f t="shared" si="1"/>
        <v>4</v>
      </c>
      <c r="C56" s="2"/>
      <c r="K56">
        <v>24782.462972421628</v>
      </c>
    </row>
    <row r="57" spans="1:11" x14ac:dyDescent="0.45">
      <c r="A57" s="1">
        <f t="shared" si="2"/>
        <v>43804.221403853007</v>
      </c>
      <c r="B57">
        <f t="shared" si="1"/>
        <v>4</v>
      </c>
      <c r="C57" s="2"/>
      <c r="K57">
        <v>27583.803930016318</v>
      </c>
    </row>
    <row r="58" spans="1:11" x14ac:dyDescent="0.45">
      <c r="A58" s="1">
        <f t="shared" si="2"/>
        <v>44799.771890304211</v>
      </c>
      <c r="B58">
        <f t="shared" si="1"/>
        <v>1</v>
      </c>
      <c r="C58" s="2"/>
      <c r="K58">
        <v>19582.795306304379</v>
      </c>
    </row>
    <row r="59" spans="1:11" x14ac:dyDescent="0.45">
      <c r="A59" s="1">
        <f t="shared" si="2"/>
        <v>45795.322376755415</v>
      </c>
      <c r="B59">
        <f t="shared" si="1"/>
        <v>1</v>
      </c>
      <c r="C59" s="2"/>
      <c r="K59">
        <v>26971.036368411551</v>
      </c>
    </row>
    <row r="60" spans="1:11" x14ac:dyDescent="0.45">
      <c r="A60" s="1">
        <f t="shared" si="2"/>
        <v>46790.87286320662</v>
      </c>
      <c r="B60">
        <f t="shared" si="1"/>
        <v>2</v>
      </c>
      <c r="C60" s="2"/>
      <c r="K60">
        <v>28126.633170456233</v>
      </c>
    </row>
    <row r="61" spans="1:11" x14ac:dyDescent="0.45">
      <c r="A61" s="1">
        <f t="shared" si="2"/>
        <v>47786.423349657824</v>
      </c>
      <c r="B61">
        <f t="shared" si="1"/>
        <v>2</v>
      </c>
      <c r="C61" s="2"/>
      <c r="K61">
        <v>22885.446265604169</v>
      </c>
    </row>
    <row r="62" spans="1:11" x14ac:dyDescent="0.45">
      <c r="A62" s="1">
        <f t="shared" si="2"/>
        <v>48781.973836109028</v>
      </c>
      <c r="B62">
        <f t="shared" si="1"/>
        <v>2</v>
      </c>
      <c r="C62" s="2"/>
      <c r="K62">
        <v>30030.988088990754</v>
      </c>
    </row>
    <row r="63" spans="1:11" x14ac:dyDescent="0.45">
      <c r="A63" s="1">
        <f t="shared" si="2"/>
        <v>49777.524322560232</v>
      </c>
      <c r="B63">
        <f t="shared" si="1"/>
        <v>0</v>
      </c>
      <c r="C63" s="2"/>
      <c r="K63">
        <v>12351.400294098326</v>
      </c>
    </row>
    <row r="64" spans="1:11" x14ac:dyDescent="0.45">
      <c r="B64">
        <f>SUM(B13:B63)</f>
        <v>999</v>
      </c>
      <c r="C64" s="2"/>
      <c r="K64">
        <v>18129.386158497451</v>
      </c>
    </row>
    <row r="65" spans="3:11" x14ac:dyDescent="0.45">
      <c r="C65" s="2"/>
      <c r="K65">
        <v>24492.488704813986</v>
      </c>
    </row>
    <row r="66" spans="3:11" x14ac:dyDescent="0.45">
      <c r="C66" s="2"/>
      <c r="K66">
        <v>25229.569250949618</v>
      </c>
    </row>
    <row r="67" spans="3:11" x14ac:dyDescent="0.45">
      <c r="C67" s="2"/>
      <c r="K67">
        <v>30466.513695500289</v>
      </c>
    </row>
    <row r="68" spans="3:11" x14ac:dyDescent="0.45">
      <c r="C68" s="2"/>
      <c r="K68">
        <v>29134.007859395591</v>
      </c>
    </row>
    <row r="69" spans="3:11" x14ac:dyDescent="0.45">
      <c r="C69" s="2"/>
      <c r="K69">
        <v>15320.879620623993</v>
      </c>
    </row>
    <row r="70" spans="3:11" x14ac:dyDescent="0.45">
      <c r="C70" s="2"/>
      <c r="K70">
        <v>37540.470589608478</v>
      </c>
    </row>
    <row r="71" spans="3:11" x14ac:dyDescent="0.45">
      <c r="C71" s="2"/>
      <c r="K71">
        <v>35813.858359641083</v>
      </c>
    </row>
    <row r="72" spans="3:11" x14ac:dyDescent="0.45">
      <c r="C72" s="2"/>
      <c r="K72">
        <v>17624.815493912974</v>
      </c>
    </row>
    <row r="73" spans="3:11" x14ac:dyDescent="0.45">
      <c r="C73" s="2"/>
      <c r="K73">
        <v>21432.685082248609</v>
      </c>
    </row>
    <row r="74" spans="3:11" x14ac:dyDescent="0.45">
      <c r="C74" s="2"/>
      <c r="K74">
        <v>13001.711209241228</v>
      </c>
    </row>
    <row r="75" spans="3:11" x14ac:dyDescent="0.45">
      <c r="C75" s="2"/>
      <c r="K75">
        <v>33111.826845171614</v>
      </c>
    </row>
    <row r="76" spans="3:11" x14ac:dyDescent="0.45">
      <c r="C76" s="2"/>
      <c r="K76">
        <v>32851.480212792274</v>
      </c>
    </row>
    <row r="77" spans="3:11" x14ac:dyDescent="0.45">
      <c r="C77" s="2"/>
      <c r="K77">
        <v>39332.187314732575</v>
      </c>
    </row>
    <row r="78" spans="3:11" x14ac:dyDescent="0.45">
      <c r="C78" s="2"/>
      <c r="K78">
        <v>32218.462449297946</v>
      </c>
    </row>
    <row r="79" spans="3:11" x14ac:dyDescent="0.45">
      <c r="C79" s="2"/>
      <c r="K79">
        <v>30889.301476734927</v>
      </c>
    </row>
    <row r="80" spans="3:11" x14ac:dyDescent="0.45">
      <c r="C80" s="2"/>
      <c r="K80">
        <v>36332.493599452588</v>
      </c>
    </row>
    <row r="81" spans="3:11" x14ac:dyDescent="0.45">
      <c r="C81" s="2"/>
      <c r="K81">
        <v>39573.25493016676</v>
      </c>
    </row>
    <row r="82" spans="3:11" x14ac:dyDescent="0.45">
      <c r="C82" s="2"/>
      <c r="K82">
        <v>26968.833709640185</v>
      </c>
    </row>
    <row r="83" spans="3:11" x14ac:dyDescent="0.45">
      <c r="C83" s="2"/>
      <c r="K83">
        <v>25533.615872702747</v>
      </c>
    </row>
    <row r="84" spans="3:11" x14ac:dyDescent="0.45">
      <c r="K84">
        <v>39672.791098411763</v>
      </c>
    </row>
    <row r="85" spans="3:11" x14ac:dyDescent="0.45">
      <c r="K85">
        <v>24612.293383758148</v>
      </c>
    </row>
    <row r="86" spans="3:11" x14ac:dyDescent="0.45">
      <c r="K86">
        <v>22890.586643177772</v>
      </c>
    </row>
    <row r="87" spans="3:11" x14ac:dyDescent="0.45">
      <c r="K87">
        <v>29826.723722471263</v>
      </c>
    </row>
    <row r="88" spans="3:11" x14ac:dyDescent="0.45">
      <c r="K88">
        <v>13870.321669371639</v>
      </c>
    </row>
    <row r="89" spans="3:11" x14ac:dyDescent="0.45">
      <c r="K89">
        <v>22733.095800981333</v>
      </c>
    </row>
    <row r="90" spans="3:11" x14ac:dyDescent="0.45">
      <c r="K90">
        <v>9188.4117933099114</v>
      </c>
    </row>
    <row r="91" spans="3:11" x14ac:dyDescent="0.45">
      <c r="K91">
        <v>13583.171533358329</v>
      </c>
    </row>
    <row r="92" spans="3:11" x14ac:dyDescent="0.45">
      <c r="K92">
        <v>34302.389692407378</v>
      </c>
    </row>
    <row r="93" spans="3:11" x14ac:dyDescent="0.45">
      <c r="K93">
        <v>22986.845908139221</v>
      </c>
    </row>
    <row r="94" spans="3:11" x14ac:dyDescent="0.45">
      <c r="K94">
        <v>26899.651445627438</v>
      </c>
    </row>
    <row r="95" spans="3:11" x14ac:dyDescent="0.45">
      <c r="K95">
        <v>17826.909158087845</v>
      </c>
    </row>
    <row r="96" spans="3:11" x14ac:dyDescent="0.45">
      <c r="K96">
        <v>36938.940255773094</v>
      </c>
    </row>
    <row r="97" spans="11:11" x14ac:dyDescent="0.45">
      <c r="K97">
        <v>22060.69976731663</v>
      </c>
    </row>
    <row r="98" spans="11:11" x14ac:dyDescent="0.45">
      <c r="K98">
        <v>22503.35042665646</v>
      </c>
    </row>
    <row r="99" spans="11:11" x14ac:dyDescent="0.45">
      <c r="K99">
        <v>28542.205567375968</v>
      </c>
    </row>
    <row r="100" spans="11:11" x14ac:dyDescent="0.45">
      <c r="K100">
        <v>33514.102991940403</v>
      </c>
    </row>
    <row r="101" spans="11:11" x14ac:dyDescent="0.45">
      <c r="K101">
        <v>15536.472585540332</v>
      </c>
    </row>
    <row r="102" spans="11:11" x14ac:dyDescent="0.45">
      <c r="K102">
        <v>24431.689165852295</v>
      </c>
    </row>
    <row r="103" spans="11:11" x14ac:dyDescent="0.45">
      <c r="K103">
        <v>26751.217271679248</v>
      </c>
    </row>
    <row r="104" spans="11:11" x14ac:dyDescent="0.45">
      <c r="K104">
        <v>29117.410013304743</v>
      </c>
    </row>
    <row r="105" spans="11:11" x14ac:dyDescent="0.45">
      <c r="K105">
        <v>31760.931403753042</v>
      </c>
    </row>
    <row r="106" spans="11:11" x14ac:dyDescent="0.45">
      <c r="K106">
        <v>21003.594358290793</v>
      </c>
    </row>
    <row r="107" spans="11:11" x14ac:dyDescent="0.45">
      <c r="K107">
        <v>24460.212683756756</v>
      </c>
    </row>
    <row r="108" spans="11:11" x14ac:dyDescent="0.45">
      <c r="K108">
        <v>40863.312035139126</v>
      </c>
    </row>
    <row r="109" spans="11:11" x14ac:dyDescent="0.45">
      <c r="K109">
        <v>23645.633888617416</v>
      </c>
    </row>
    <row r="110" spans="11:11" x14ac:dyDescent="0.45">
      <c r="K110">
        <v>11518.476638437071</v>
      </c>
    </row>
    <row r="111" spans="11:11" x14ac:dyDescent="0.45">
      <c r="K111">
        <v>35066.282331188937</v>
      </c>
    </row>
    <row r="112" spans="11:11" x14ac:dyDescent="0.45">
      <c r="K112">
        <v>26581.900470764311</v>
      </c>
    </row>
    <row r="113" spans="11:11" x14ac:dyDescent="0.45">
      <c r="K113">
        <v>29243.585148590697</v>
      </c>
    </row>
    <row r="114" spans="11:11" x14ac:dyDescent="0.45">
      <c r="K114">
        <v>21356.006726936139</v>
      </c>
    </row>
    <row r="115" spans="11:11" x14ac:dyDescent="0.45">
      <c r="K115">
        <v>34476.744196328233</v>
      </c>
    </row>
    <row r="116" spans="11:11" x14ac:dyDescent="0.45">
      <c r="K116">
        <v>16190.308951425046</v>
      </c>
    </row>
    <row r="117" spans="11:11" x14ac:dyDescent="0.45">
      <c r="K117">
        <v>40738.850847732057</v>
      </c>
    </row>
    <row r="118" spans="11:11" x14ac:dyDescent="0.45">
      <c r="K118">
        <v>27926.651568768364</v>
      </c>
    </row>
    <row r="119" spans="11:11" x14ac:dyDescent="0.45">
      <c r="K119">
        <v>14450.989002084409</v>
      </c>
    </row>
    <row r="120" spans="11:11" x14ac:dyDescent="0.45">
      <c r="K120">
        <v>12992.410430624299</v>
      </c>
    </row>
    <row r="121" spans="11:11" x14ac:dyDescent="0.45">
      <c r="K121">
        <v>28427.101093758134</v>
      </c>
    </row>
    <row r="122" spans="11:11" x14ac:dyDescent="0.45">
      <c r="K122">
        <v>28697.491803577163</v>
      </c>
    </row>
    <row r="123" spans="11:11" x14ac:dyDescent="0.45">
      <c r="K123">
        <v>28705.979663123846</v>
      </c>
    </row>
    <row r="124" spans="11:11" x14ac:dyDescent="0.45">
      <c r="K124">
        <v>16691.328119917664</v>
      </c>
    </row>
    <row r="125" spans="11:11" x14ac:dyDescent="0.45">
      <c r="K125">
        <v>25621.502316304293</v>
      </c>
    </row>
    <row r="126" spans="11:11" x14ac:dyDescent="0.45">
      <c r="K126">
        <v>26704.612902303175</v>
      </c>
    </row>
    <row r="127" spans="11:11" x14ac:dyDescent="0.45">
      <c r="K127">
        <v>0</v>
      </c>
    </row>
    <row r="128" spans="11:11" x14ac:dyDescent="0.45">
      <c r="K128">
        <v>27265.601399024494</v>
      </c>
    </row>
    <row r="129" spans="11:11" x14ac:dyDescent="0.45">
      <c r="K129">
        <v>22320.446789827223</v>
      </c>
    </row>
    <row r="130" spans="11:11" x14ac:dyDescent="0.45">
      <c r="K130">
        <v>33949.774849926151</v>
      </c>
    </row>
    <row r="131" spans="11:11" x14ac:dyDescent="0.45">
      <c r="K131">
        <v>28083.67102401661</v>
      </c>
    </row>
    <row r="132" spans="11:11" x14ac:dyDescent="0.45">
      <c r="K132">
        <v>17953.661525697731</v>
      </c>
    </row>
    <row r="133" spans="11:11" x14ac:dyDescent="0.45">
      <c r="K133">
        <v>26385.930991021181</v>
      </c>
    </row>
    <row r="134" spans="11:11" x14ac:dyDescent="0.45">
      <c r="K134">
        <v>34357.103442969295</v>
      </c>
    </row>
    <row r="135" spans="11:11" x14ac:dyDescent="0.45">
      <c r="K135">
        <v>20678.907452496387</v>
      </c>
    </row>
    <row r="136" spans="11:11" x14ac:dyDescent="0.45">
      <c r="K136">
        <v>19960.162069046088</v>
      </c>
    </row>
    <row r="137" spans="11:11" x14ac:dyDescent="0.45">
      <c r="K137">
        <v>11260.177818128359</v>
      </c>
    </row>
    <row r="138" spans="11:11" x14ac:dyDescent="0.45">
      <c r="K138">
        <v>40407.411714201953</v>
      </c>
    </row>
    <row r="139" spans="11:11" x14ac:dyDescent="0.45">
      <c r="K139">
        <v>37865.224133954056</v>
      </c>
    </row>
    <row r="140" spans="11:11" x14ac:dyDescent="0.45">
      <c r="K140">
        <v>34235.762530229898</v>
      </c>
    </row>
    <row r="141" spans="11:11" x14ac:dyDescent="0.45">
      <c r="K141">
        <v>38270.96058039269</v>
      </c>
    </row>
    <row r="142" spans="11:11" x14ac:dyDescent="0.45">
      <c r="K142">
        <v>12653.469518492826</v>
      </c>
    </row>
    <row r="143" spans="11:11" x14ac:dyDescent="0.45">
      <c r="K143">
        <v>25126.973034325536</v>
      </c>
    </row>
    <row r="144" spans="11:11" x14ac:dyDescent="0.45">
      <c r="K144">
        <v>37989.093415788528</v>
      </c>
    </row>
    <row r="145" spans="11:11" x14ac:dyDescent="0.45">
      <c r="K145">
        <v>41894.735205313613</v>
      </c>
    </row>
    <row r="146" spans="11:11" x14ac:dyDescent="0.45">
      <c r="K146">
        <v>13791.405603771067</v>
      </c>
    </row>
    <row r="147" spans="11:11" x14ac:dyDescent="0.45">
      <c r="K147">
        <v>36052.356753439548</v>
      </c>
    </row>
    <row r="148" spans="11:11" x14ac:dyDescent="0.45">
      <c r="K148">
        <v>11383.959284564893</v>
      </c>
    </row>
    <row r="149" spans="11:11" x14ac:dyDescent="0.45">
      <c r="K149">
        <v>30777.183510429215</v>
      </c>
    </row>
    <row r="150" spans="11:11" x14ac:dyDescent="0.45">
      <c r="K150">
        <v>24842.618491429013</v>
      </c>
    </row>
    <row r="151" spans="11:11" x14ac:dyDescent="0.45">
      <c r="K151">
        <v>29522.838666133641</v>
      </c>
    </row>
    <row r="152" spans="11:11" x14ac:dyDescent="0.45">
      <c r="K152">
        <v>31451.378747775758</v>
      </c>
    </row>
    <row r="153" spans="11:11" x14ac:dyDescent="0.45">
      <c r="K153">
        <v>26703.022590856486</v>
      </c>
    </row>
    <row r="154" spans="11:11" x14ac:dyDescent="0.45">
      <c r="K154">
        <v>23546.542095578276</v>
      </c>
    </row>
    <row r="155" spans="11:11" x14ac:dyDescent="0.45">
      <c r="K155">
        <v>28819.732609570128</v>
      </c>
    </row>
    <row r="156" spans="11:11" x14ac:dyDescent="0.45">
      <c r="K156">
        <v>25425.132139030695</v>
      </c>
    </row>
    <row r="157" spans="11:11" x14ac:dyDescent="0.45">
      <c r="K157">
        <v>31088.763935060284</v>
      </c>
    </row>
    <row r="158" spans="11:11" x14ac:dyDescent="0.45">
      <c r="K158">
        <v>22986.025180582001</v>
      </c>
    </row>
    <row r="159" spans="11:11" x14ac:dyDescent="0.45">
      <c r="K159">
        <v>18268.693385623374</v>
      </c>
    </row>
    <row r="160" spans="11:11" x14ac:dyDescent="0.45">
      <c r="K160">
        <v>16158.932064705868</v>
      </c>
    </row>
    <row r="161" spans="11:11" x14ac:dyDescent="0.45">
      <c r="K161">
        <v>30861.841093155024</v>
      </c>
    </row>
    <row r="162" spans="11:11" x14ac:dyDescent="0.45">
      <c r="K162">
        <v>29260.321315829886</v>
      </c>
    </row>
    <row r="163" spans="11:11" x14ac:dyDescent="0.45">
      <c r="K163">
        <v>21839.095532306343</v>
      </c>
    </row>
    <row r="164" spans="11:11" x14ac:dyDescent="0.45">
      <c r="K164">
        <v>16599.514265103586</v>
      </c>
    </row>
    <row r="165" spans="11:11" x14ac:dyDescent="0.45">
      <c r="K165">
        <v>32089.87187443033</v>
      </c>
    </row>
    <row r="166" spans="11:11" x14ac:dyDescent="0.45">
      <c r="K166">
        <v>35300.162167070041</v>
      </c>
    </row>
    <row r="167" spans="11:11" x14ac:dyDescent="0.45">
      <c r="K167">
        <v>31716.522372568394</v>
      </c>
    </row>
    <row r="168" spans="11:11" x14ac:dyDescent="0.45">
      <c r="K168">
        <v>11466.134109709465</v>
      </c>
    </row>
    <row r="169" spans="11:11" x14ac:dyDescent="0.45">
      <c r="K169">
        <v>31973.906826671948</v>
      </c>
    </row>
    <row r="170" spans="11:11" x14ac:dyDescent="0.45">
      <c r="K170">
        <v>9603.9467151549343</v>
      </c>
    </row>
    <row r="171" spans="11:11" x14ac:dyDescent="0.45">
      <c r="K171">
        <v>19536.914835065454</v>
      </c>
    </row>
    <row r="172" spans="11:11" x14ac:dyDescent="0.45">
      <c r="K172">
        <v>24834.531146986745</v>
      </c>
    </row>
    <row r="173" spans="11:11" x14ac:dyDescent="0.45">
      <c r="K173">
        <v>12746.140143850231</v>
      </c>
    </row>
    <row r="174" spans="11:11" x14ac:dyDescent="0.45">
      <c r="K174">
        <v>19993.060254127326</v>
      </c>
    </row>
    <row r="175" spans="11:11" x14ac:dyDescent="0.45">
      <c r="K175">
        <v>18663.353359306864</v>
      </c>
    </row>
    <row r="176" spans="11:11" x14ac:dyDescent="0.45">
      <c r="K176">
        <v>30782.622509714805</v>
      </c>
    </row>
    <row r="177" spans="11:11" x14ac:dyDescent="0.45">
      <c r="K177">
        <v>5926.98653350522</v>
      </c>
    </row>
    <row r="178" spans="11:11" x14ac:dyDescent="0.45">
      <c r="K178">
        <v>37688.868966353533</v>
      </c>
    </row>
    <row r="179" spans="11:11" x14ac:dyDescent="0.45">
      <c r="K179">
        <v>29876.025842958668</v>
      </c>
    </row>
    <row r="180" spans="11:11" x14ac:dyDescent="0.45">
      <c r="K180">
        <v>16185.762603091502</v>
      </c>
    </row>
    <row r="181" spans="11:11" x14ac:dyDescent="0.45">
      <c r="K181">
        <v>35546.132379420975</v>
      </c>
    </row>
    <row r="182" spans="11:11" x14ac:dyDescent="0.45">
      <c r="K182">
        <v>38911.058889860607</v>
      </c>
    </row>
    <row r="183" spans="11:11" x14ac:dyDescent="0.45">
      <c r="K183">
        <v>30341.014875082539</v>
      </c>
    </row>
    <row r="184" spans="11:11" x14ac:dyDescent="0.45">
      <c r="K184">
        <v>34867.321776577861</v>
      </c>
    </row>
    <row r="185" spans="11:11" x14ac:dyDescent="0.45">
      <c r="K185">
        <v>39156.899441958361</v>
      </c>
    </row>
    <row r="186" spans="11:11" x14ac:dyDescent="0.45">
      <c r="K186">
        <v>24953.200817305242</v>
      </c>
    </row>
    <row r="187" spans="11:11" x14ac:dyDescent="0.45">
      <c r="K187">
        <v>32187.932574244922</v>
      </c>
    </row>
    <row r="188" spans="11:11" x14ac:dyDescent="0.45">
      <c r="K188">
        <v>25443.630620318945</v>
      </c>
    </row>
    <row r="189" spans="11:11" x14ac:dyDescent="0.45">
      <c r="K189">
        <v>24254.234966019321</v>
      </c>
    </row>
    <row r="190" spans="11:11" x14ac:dyDescent="0.45">
      <c r="K190">
        <v>8703.113601569079</v>
      </c>
    </row>
    <row r="191" spans="11:11" x14ac:dyDescent="0.45">
      <c r="K191">
        <v>29650.475170639962</v>
      </c>
    </row>
    <row r="192" spans="11:11" x14ac:dyDescent="0.45">
      <c r="K192">
        <v>33167.570829970122</v>
      </c>
    </row>
    <row r="193" spans="11:11" x14ac:dyDescent="0.45">
      <c r="K193">
        <v>26358.624423881873</v>
      </c>
    </row>
    <row r="194" spans="11:11" x14ac:dyDescent="0.45">
      <c r="K194">
        <v>39211.123437365917</v>
      </c>
    </row>
    <row r="195" spans="11:11" x14ac:dyDescent="0.45">
      <c r="K195">
        <v>23765.758932617558</v>
      </c>
    </row>
    <row r="196" spans="11:11" x14ac:dyDescent="0.45">
      <c r="K196">
        <v>24920.985603886002</v>
      </c>
    </row>
    <row r="197" spans="11:11" x14ac:dyDescent="0.45">
      <c r="K197">
        <v>32708.604729382605</v>
      </c>
    </row>
    <row r="198" spans="11:11" x14ac:dyDescent="0.45">
      <c r="K198">
        <v>21118.382593411963</v>
      </c>
    </row>
    <row r="199" spans="11:11" x14ac:dyDescent="0.45">
      <c r="K199">
        <v>16534.639100412227</v>
      </c>
    </row>
    <row r="200" spans="11:11" x14ac:dyDescent="0.45">
      <c r="K200">
        <v>33542.41979726385</v>
      </c>
    </row>
    <row r="201" spans="11:11" x14ac:dyDescent="0.45">
      <c r="K201">
        <v>32470.024754205529</v>
      </c>
    </row>
    <row r="202" spans="11:11" x14ac:dyDescent="0.45">
      <c r="K202">
        <v>33455.105369864927</v>
      </c>
    </row>
    <row r="203" spans="11:11" x14ac:dyDescent="0.45">
      <c r="K203">
        <v>34483.992359440272</v>
      </c>
    </row>
    <row r="204" spans="11:11" x14ac:dyDescent="0.45">
      <c r="K204">
        <v>25386.70209403769</v>
      </c>
    </row>
    <row r="205" spans="11:11" x14ac:dyDescent="0.45">
      <c r="K205">
        <v>27548.965875793656</v>
      </c>
    </row>
    <row r="206" spans="11:11" x14ac:dyDescent="0.45">
      <c r="K206">
        <v>30945.384756649051</v>
      </c>
    </row>
    <row r="207" spans="11:11" x14ac:dyDescent="0.45">
      <c r="K207">
        <v>27379.65675307425</v>
      </c>
    </row>
    <row r="208" spans="11:11" x14ac:dyDescent="0.45">
      <c r="K208">
        <v>30162.374776300319</v>
      </c>
    </row>
    <row r="209" spans="11:11" x14ac:dyDescent="0.45">
      <c r="K209">
        <v>23629.2319013573</v>
      </c>
    </row>
    <row r="210" spans="11:11" x14ac:dyDescent="0.45">
      <c r="K210">
        <v>17581.679242027902</v>
      </c>
    </row>
    <row r="211" spans="11:11" x14ac:dyDescent="0.45">
      <c r="K211">
        <v>37845.401525133071</v>
      </c>
    </row>
    <row r="212" spans="11:11" x14ac:dyDescent="0.45">
      <c r="K212">
        <v>20912.993170656177</v>
      </c>
    </row>
    <row r="213" spans="11:11" x14ac:dyDescent="0.45">
      <c r="K213">
        <v>29038.453581036174</v>
      </c>
    </row>
    <row r="214" spans="11:11" x14ac:dyDescent="0.45">
      <c r="K214">
        <v>20869.329727238925</v>
      </c>
    </row>
    <row r="215" spans="11:11" x14ac:dyDescent="0.45">
      <c r="K215">
        <v>24259.05641663447</v>
      </c>
    </row>
    <row r="216" spans="11:11" x14ac:dyDescent="0.45">
      <c r="K216">
        <v>27785.797773800634</v>
      </c>
    </row>
    <row r="217" spans="11:11" x14ac:dyDescent="0.45">
      <c r="K217">
        <v>24714.795405283858</v>
      </c>
    </row>
    <row r="218" spans="11:11" x14ac:dyDescent="0.45">
      <c r="K218">
        <v>33193.945654950905</v>
      </c>
    </row>
    <row r="219" spans="11:11" x14ac:dyDescent="0.45">
      <c r="K219">
        <v>28750.65942352295</v>
      </c>
    </row>
    <row r="220" spans="11:11" x14ac:dyDescent="0.45">
      <c r="K220">
        <v>25110.480963992875</v>
      </c>
    </row>
    <row r="221" spans="11:11" x14ac:dyDescent="0.45">
      <c r="K221">
        <v>24765.126138211901</v>
      </c>
    </row>
    <row r="222" spans="11:11" x14ac:dyDescent="0.45">
      <c r="K222">
        <v>32460.369325251646</v>
      </c>
    </row>
    <row r="223" spans="11:11" x14ac:dyDescent="0.45">
      <c r="K223">
        <v>31616.415213669556</v>
      </c>
    </row>
    <row r="224" spans="11:11" x14ac:dyDescent="0.45">
      <c r="K224">
        <v>24427.808714391198</v>
      </c>
    </row>
    <row r="225" spans="11:11" x14ac:dyDescent="0.45">
      <c r="K225">
        <v>18627.538865044844</v>
      </c>
    </row>
    <row r="226" spans="11:11" x14ac:dyDescent="0.45">
      <c r="K226">
        <v>34680.141919690977</v>
      </c>
    </row>
    <row r="227" spans="11:11" x14ac:dyDescent="0.45">
      <c r="K227">
        <v>27720.014437360962</v>
      </c>
    </row>
    <row r="228" spans="11:11" x14ac:dyDescent="0.45">
      <c r="K228">
        <v>30798.296016017681</v>
      </c>
    </row>
    <row r="229" spans="11:11" x14ac:dyDescent="0.45">
      <c r="K229">
        <v>21797.512821000117</v>
      </c>
    </row>
    <row r="230" spans="11:11" x14ac:dyDescent="0.45">
      <c r="K230">
        <v>26479.242384671128</v>
      </c>
    </row>
    <row r="231" spans="11:11" x14ac:dyDescent="0.45">
      <c r="K231">
        <v>23976.828927800001</v>
      </c>
    </row>
    <row r="232" spans="11:11" x14ac:dyDescent="0.45">
      <c r="K232">
        <v>26647.061567850706</v>
      </c>
    </row>
    <row r="233" spans="11:11" x14ac:dyDescent="0.45">
      <c r="K233">
        <v>20086.082926904877</v>
      </c>
    </row>
    <row r="234" spans="11:11" x14ac:dyDescent="0.45">
      <c r="K234">
        <v>28795.1762894686</v>
      </c>
    </row>
    <row r="235" spans="11:11" x14ac:dyDescent="0.45">
      <c r="K235">
        <v>12487.836083814476</v>
      </c>
    </row>
    <row r="236" spans="11:11" x14ac:dyDescent="0.45">
      <c r="K236">
        <v>32129.512025120042</v>
      </c>
    </row>
    <row r="237" spans="11:11" x14ac:dyDescent="0.45">
      <c r="K237">
        <v>33208.566798673201</v>
      </c>
    </row>
    <row r="238" spans="11:11" x14ac:dyDescent="0.45">
      <c r="K238">
        <v>30724.828142727165</v>
      </c>
    </row>
    <row r="239" spans="11:11" x14ac:dyDescent="0.45">
      <c r="K239">
        <v>25497.217066577159</v>
      </c>
    </row>
    <row r="240" spans="11:11" x14ac:dyDescent="0.45">
      <c r="K240">
        <v>32885.315997528793</v>
      </c>
    </row>
    <row r="241" spans="11:11" x14ac:dyDescent="0.45">
      <c r="K241">
        <v>28901.067928502798</v>
      </c>
    </row>
    <row r="242" spans="11:11" x14ac:dyDescent="0.45">
      <c r="K242">
        <v>21625.995019561582</v>
      </c>
    </row>
    <row r="243" spans="11:11" x14ac:dyDescent="0.45">
      <c r="K243">
        <v>19982.845065418482</v>
      </c>
    </row>
    <row r="244" spans="11:11" x14ac:dyDescent="0.45">
      <c r="K244">
        <v>41483.234610839005</v>
      </c>
    </row>
    <row r="245" spans="11:11" x14ac:dyDescent="0.45">
      <c r="K245">
        <v>25071.992318798337</v>
      </c>
    </row>
    <row r="246" spans="11:11" x14ac:dyDescent="0.45">
      <c r="K246">
        <v>29111.356298852956</v>
      </c>
    </row>
    <row r="247" spans="11:11" x14ac:dyDescent="0.45">
      <c r="K247">
        <v>33484.776332761423</v>
      </c>
    </row>
    <row r="248" spans="11:11" x14ac:dyDescent="0.45">
      <c r="K248">
        <v>26219.729888008093</v>
      </c>
    </row>
    <row r="249" spans="11:11" x14ac:dyDescent="0.45">
      <c r="K249">
        <v>30813.134489149168</v>
      </c>
    </row>
    <row r="250" spans="11:11" x14ac:dyDescent="0.45">
      <c r="K250">
        <v>31947.430535982741</v>
      </c>
    </row>
    <row r="251" spans="11:11" x14ac:dyDescent="0.45">
      <c r="K251">
        <v>18821.343950032126</v>
      </c>
    </row>
    <row r="252" spans="11:11" x14ac:dyDescent="0.45">
      <c r="K252">
        <v>32862.241304086318</v>
      </c>
    </row>
    <row r="253" spans="11:11" x14ac:dyDescent="0.45">
      <c r="K253">
        <v>15286.915884889431</v>
      </c>
    </row>
    <row r="254" spans="11:11" x14ac:dyDescent="0.45">
      <c r="K254">
        <v>17626.742792809029</v>
      </c>
    </row>
    <row r="255" spans="11:11" x14ac:dyDescent="0.45">
      <c r="K255">
        <v>11416.557903642863</v>
      </c>
    </row>
    <row r="256" spans="11:11" x14ac:dyDescent="0.45">
      <c r="K256">
        <v>39636.285036751346</v>
      </c>
    </row>
    <row r="257" spans="11:11" x14ac:dyDescent="0.45">
      <c r="K257">
        <v>28531.486101585513</v>
      </c>
    </row>
    <row r="258" spans="11:11" x14ac:dyDescent="0.45">
      <c r="K258">
        <v>30148.836687202242</v>
      </c>
    </row>
    <row r="259" spans="11:11" x14ac:dyDescent="0.45">
      <c r="K259">
        <v>43450.095692990944</v>
      </c>
    </row>
    <row r="260" spans="11:11" x14ac:dyDescent="0.45">
      <c r="K260">
        <v>22965.105495104839</v>
      </c>
    </row>
    <row r="261" spans="11:11" x14ac:dyDescent="0.45">
      <c r="K261">
        <v>17208.76778821621</v>
      </c>
    </row>
    <row r="262" spans="11:11" x14ac:dyDescent="0.45">
      <c r="K262">
        <v>11003.651062580606</v>
      </c>
    </row>
    <row r="263" spans="11:11" x14ac:dyDescent="0.45">
      <c r="K263">
        <v>24588.754285465908</v>
      </c>
    </row>
    <row r="264" spans="11:11" x14ac:dyDescent="0.45">
      <c r="K264">
        <v>37636.022176786057</v>
      </c>
    </row>
    <row r="265" spans="11:11" x14ac:dyDescent="0.45">
      <c r="K265">
        <v>35842.800385321643</v>
      </c>
    </row>
    <row r="266" spans="11:11" x14ac:dyDescent="0.45">
      <c r="K266">
        <v>18884.109861238237</v>
      </c>
    </row>
    <row r="267" spans="11:11" x14ac:dyDescent="0.45">
      <c r="K267">
        <v>24008.312877685541</v>
      </c>
    </row>
    <row r="268" spans="11:11" x14ac:dyDescent="0.45">
      <c r="K268">
        <v>16086.382444861689</v>
      </c>
    </row>
    <row r="269" spans="11:11" x14ac:dyDescent="0.45">
      <c r="K269">
        <v>20896.628639062492</v>
      </c>
    </row>
    <row r="270" spans="11:11" x14ac:dyDescent="0.45">
      <c r="K270">
        <v>21307.652469423461</v>
      </c>
    </row>
    <row r="271" spans="11:11" x14ac:dyDescent="0.45">
      <c r="K271">
        <v>19878.755241716324</v>
      </c>
    </row>
    <row r="272" spans="11:11" x14ac:dyDescent="0.45">
      <c r="K272">
        <v>21340.695290451924</v>
      </c>
    </row>
    <row r="273" spans="11:11" x14ac:dyDescent="0.45">
      <c r="K273">
        <v>14958.557956840938</v>
      </c>
    </row>
    <row r="274" spans="11:11" x14ac:dyDescent="0.45">
      <c r="K274">
        <v>25964.486835372736</v>
      </c>
    </row>
    <row r="275" spans="11:11" x14ac:dyDescent="0.45">
      <c r="K275">
        <v>44968.991524055862</v>
      </c>
    </row>
    <row r="276" spans="11:11" x14ac:dyDescent="0.45">
      <c r="K276">
        <v>23685.120827639752</v>
      </c>
    </row>
    <row r="277" spans="11:11" x14ac:dyDescent="0.45">
      <c r="K277">
        <v>33871.405467257944</v>
      </c>
    </row>
    <row r="278" spans="11:11" x14ac:dyDescent="0.45">
      <c r="K278">
        <v>15024.82868889609</v>
      </c>
    </row>
    <row r="279" spans="11:11" x14ac:dyDescent="0.45">
      <c r="K279">
        <v>21927.692206281346</v>
      </c>
    </row>
    <row r="280" spans="11:11" x14ac:dyDescent="0.45">
      <c r="K280">
        <v>22451.104122203866</v>
      </c>
    </row>
    <row r="281" spans="11:11" x14ac:dyDescent="0.45">
      <c r="K281">
        <v>20904.976873158248</v>
      </c>
    </row>
    <row r="282" spans="11:11" x14ac:dyDescent="0.45">
      <c r="K282">
        <v>29678.682147455973</v>
      </c>
    </row>
    <row r="283" spans="11:11" x14ac:dyDescent="0.45">
      <c r="K283">
        <v>22725.760206379797</v>
      </c>
    </row>
    <row r="284" spans="11:11" x14ac:dyDescent="0.45">
      <c r="K284">
        <v>23008.090640107421</v>
      </c>
    </row>
    <row r="285" spans="11:11" x14ac:dyDescent="0.45">
      <c r="K285">
        <v>29280.636133920747</v>
      </c>
    </row>
    <row r="286" spans="11:11" x14ac:dyDescent="0.45">
      <c r="K286">
        <v>11460.45949108232</v>
      </c>
    </row>
    <row r="287" spans="11:11" x14ac:dyDescent="0.45">
      <c r="K287">
        <v>29325.852682843433</v>
      </c>
    </row>
    <row r="288" spans="11:11" x14ac:dyDescent="0.45">
      <c r="K288">
        <v>32129.779464741085</v>
      </c>
    </row>
    <row r="289" spans="11:11" x14ac:dyDescent="0.45">
      <c r="K289">
        <v>20367.830285261232</v>
      </c>
    </row>
    <row r="290" spans="11:11" x14ac:dyDescent="0.45">
      <c r="K290">
        <v>29539.281996531779</v>
      </c>
    </row>
    <row r="291" spans="11:11" x14ac:dyDescent="0.45">
      <c r="K291">
        <v>21656.522719071592</v>
      </c>
    </row>
    <row r="292" spans="11:11" x14ac:dyDescent="0.45">
      <c r="K292">
        <v>30509.979852848417</v>
      </c>
    </row>
    <row r="293" spans="11:11" x14ac:dyDescent="0.45">
      <c r="K293">
        <v>47000.523746218445</v>
      </c>
    </row>
    <row r="294" spans="11:11" x14ac:dyDescent="0.45">
      <c r="K294">
        <v>31711.841580086595</v>
      </c>
    </row>
    <row r="295" spans="11:11" x14ac:dyDescent="0.45">
      <c r="K295">
        <v>37980.916398599373</v>
      </c>
    </row>
    <row r="296" spans="11:11" x14ac:dyDescent="0.45">
      <c r="K296">
        <v>29622.610117456461</v>
      </c>
    </row>
    <row r="297" spans="11:11" x14ac:dyDescent="0.45">
      <c r="K297">
        <v>27145.592869809712</v>
      </c>
    </row>
    <row r="298" spans="11:11" x14ac:dyDescent="0.45">
      <c r="K298">
        <v>26029.277941536246</v>
      </c>
    </row>
    <row r="299" spans="11:11" x14ac:dyDescent="0.45">
      <c r="K299">
        <v>35278.176195859014</v>
      </c>
    </row>
    <row r="300" spans="11:11" x14ac:dyDescent="0.45">
      <c r="K300">
        <v>19841.878233683339</v>
      </c>
    </row>
    <row r="301" spans="11:11" x14ac:dyDescent="0.45">
      <c r="K301">
        <v>20859.031352828137</v>
      </c>
    </row>
    <row r="302" spans="11:11" x14ac:dyDescent="0.45">
      <c r="K302">
        <v>26425.766798975314</v>
      </c>
    </row>
    <row r="303" spans="11:11" x14ac:dyDescent="0.45">
      <c r="K303">
        <v>24425.941922645761</v>
      </c>
    </row>
    <row r="304" spans="11:11" x14ac:dyDescent="0.45">
      <c r="K304">
        <v>15176.701438272858</v>
      </c>
    </row>
    <row r="305" spans="11:11" x14ac:dyDescent="0.45">
      <c r="K305">
        <v>32499.325776788177</v>
      </c>
    </row>
    <row r="306" spans="11:11" x14ac:dyDescent="0.45">
      <c r="K306">
        <v>16276.709305931088</v>
      </c>
    </row>
    <row r="307" spans="11:11" x14ac:dyDescent="0.45">
      <c r="K307">
        <v>19973.276609265577</v>
      </c>
    </row>
    <row r="308" spans="11:11" x14ac:dyDescent="0.45">
      <c r="K308">
        <v>32783.000185362464</v>
      </c>
    </row>
    <row r="309" spans="11:11" x14ac:dyDescent="0.45">
      <c r="K309">
        <v>25540.695155995236</v>
      </c>
    </row>
    <row r="310" spans="11:11" x14ac:dyDescent="0.45">
      <c r="K310">
        <v>44639.228147271038</v>
      </c>
    </row>
    <row r="311" spans="11:11" x14ac:dyDescent="0.45">
      <c r="K311">
        <v>29289.478710163989</v>
      </c>
    </row>
    <row r="312" spans="11:11" x14ac:dyDescent="0.45">
      <c r="K312">
        <v>18611.93161898759</v>
      </c>
    </row>
    <row r="313" spans="11:11" x14ac:dyDescent="0.45">
      <c r="K313">
        <v>31670.314201589525</v>
      </c>
    </row>
    <row r="314" spans="11:11" x14ac:dyDescent="0.45">
      <c r="K314">
        <v>29529.48519675454</v>
      </c>
    </row>
    <row r="315" spans="11:11" x14ac:dyDescent="0.45">
      <c r="K315">
        <v>17319.181430929144</v>
      </c>
    </row>
    <row r="316" spans="11:11" x14ac:dyDescent="0.45">
      <c r="K316">
        <v>23110.854945908563</v>
      </c>
    </row>
    <row r="317" spans="11:11" x14ac:dyDescent="0.45">
      <c r="K317">
        <v>27544.464371690519</v>
      </c>
    </row>
    <row r="318" spans="11:11" x14ac:dyDescent="0.45">
      <c r="K318">
        <v>11671.780340176716</v>
      </c>
    </row>
    <row r="319" spans="11:11" x14ac:dyDescent="0.45">
      <c r="K319">
        <v>26780.267237713724</v>
      </c>
    </row>
    <row r="320" spans="11:11" x14ac:dyDescent="0.45">
      <c r="K320">
        <v>10878.29156029908</v>
      </c>
    </row>
    <row r="321" spans="11:11" x14ac:dyDescent="0.45">
      <c r="K321">
        <v>25131.091011860321</v>
      </c>
    </row>
    <row r="322" spans="11:11" x14ac:dyDescent="0.45">
      <c r="K322">
        <v>36001.048817764044</v>
      </c>
    </row>
    <row r="323" spans="11:11" x14ac:dyDescent="0.45">
      <c r="K323">
        <v>37787.25474748361</v>
      </c>
    </row>
    <row r="324" spans="11:11" x14ac:dyDescent="0.45">
      <c r="K324">
        <v>18549.163264640407</v>
      </c>
    </row>
    <row r="325" spans="11:11" x14ac:dyDescent="0.45">
      <c r="K325">
        <v>35188.866073510166</v>
      </c>
    </row>
    <row r="326" spans="11:11" x14ac:dyDescent="0.45">
      <c r="K326">
        <v>23271.558436177995</v>
      </c>
    </row>
    <row r="327" spans="11:11" x14ac:dyDescent="0.45">
      <c r="K327">
        <v>20752.207092388941</v>
      </c>
    </row>
    <row r="328" spans="11:11" x14ac:dyDescent="0.45">
      <c r="K328">
        <v>22766.480503359871</v>
      </c>
    </row>
    <row r="329" spans="11:11" x14ac:dyDescent="0.45">
      <c r="K329">
        <v>28975.657587732509</v>
      </c>
    </row>
    <row r="330" spans="11:11" x14ac:dyDescent="0.45">
      <c r="K330">
        <v>31294.86836583203</v>
      </c>
    </row>
    <row r="331" spans="11:11" x14ac:dyDescent="0.45">
      <c r="K331">
        <v>29388.813113017208</v>
      </c>
    </row>
    <row r="332" spans="11:11" x14ac:dyDescent="0.45">
      <c r="K332">
        <v>32609.472216666465</v>
      </c>
    </row>
    <row r="333" spans="11:11" x14ac:dyDescent="0.45">
      <c r="K333">
        <v>27133.761519842421</v>
      </c>
    </row>
    <row r="334" spans="11:11" x14ac:dyDescent="0.45">
      <c r="K334">
        <v>40044.154319938054</v>
      </c>
    </row>
    <row r="335" spans="11:11" x14ac:dyDescent="0.45">
      <c r="K335">
        <v>41311.094417926412</v>
      </c>
    </row>
    <row r="336" spans="11:11" x14ac:dyDescent="0.45">
      <c r="K336">
        <v>40556.712263683636</v>
      </c>
    </row>
    <row r="337" spans="11:11" x14ac:dyDescent="0.45">
      <c r="K337">
        <v>28635.207214019705</v>
      </c>
    </row>
    <row r="338" spans="11:11" x14ac:dyDescent="0.45">
      <c r="K338">
        <v>26165.57108842699</v>
      </c>
    </row>
    <row r="339" spans="11:11" x14ac:dyDescent="0.45">
      <c r="K339">
        <v>35169.5987355408</v>
      </c>
    </row>
    <row r="340" spans="11:11" x14ac:dyDescent="0.45">
      <c r="K340">
        <v>5606.5635855525979</v>
      </c>
    </row>
    <row r="341" spans="11:11" x14ac:dyDescent="0.45">
      <c r="K341">
        <v>24104.647267677665</v>
      </c>
    </row>
    <row r="342" spans="11:11" x14ac:dyDescent="0.45">
      <c r="K342">
        <v>18171.235257118402</v>
      </c>
    </row>
    <row r="343" spans="11:11" x14ac:dyDescent="0.45">
      <c r="K343">
        <v>35614.554716713923</v>
      </c>
    </row>
    <row r="344" spans="11:11" x14ac:dyDescent="0.45">
      <c r="K344">
        <v>17990.657969548902</v>
      </c>
    </row>
    <row r="345" spans="11:11" x14ac:dyDescent="0.45">
      <c r="K345">
        <v>11099.830561280607</v>
      </c>
    </row>
    <row r="346" spans="11:11" x14ac:dyDescent="0.45">
      <c r="K346">
        <v>14599.424182490893</v>
      </c>
    </row>
    <row r="347" spans="11:11" x14ac:dyDescent="0.45">
      <c r="K347">
        <v>25176.495146164725</v>
      </c>
    </row>
    <row r="348" spans="11:11" x14ac:dyDescent="0.45">
      <c r="K348">
        <v>29182.534216325847</v>
      </c>
    </row>
    <row r="349" spans="11:11" x14ac:dyDescent="0.45">
      <c r="K349">
        <v>25130.243063074151</v>
      </c>
    </row>
    <row r="350" spans="11:11" x14ac:dyDescent="0.45">
      <c r="K350">
        <v>18339.613440366626</v>
      </c>
    </row>
    <row r="351" spans="11:11" x14ac:dyDescent="0.45">
      <c r="K351">
        <v>29602.094123889994</v>
      </c>
    </row>
    <row r="352" spans="11:11" x14ac:dyDescent="0.45">
      <c r="K352">
        <v>10259.081245907826</v>
      </c>
    </row>
    <row r="353" spans="11:11" x14ac:dyDescent="0.45">
      <c r="K353">
        <v>27176.391630273181</v>
      </c>
    </row>
    <row r="354" spans="11:11" x14ac:dyDescent="0.45">
      <c r="K354">
        <v>31237.548514162721</v>
      </c>
    </row>
    <row r="355" spans="11:11" x14ac:dyDescent="0.45">
      <c r="K355">
        <v>14564.057800392791</v>
      </c>
    </row>
    <row r="356" spans="11:11" x14ac:dyDescent="0.45">
      <c r="K356">
        <v>21784.394960459871</v>
      </c>
    </row>
    <row r="357" spans="11:11" x14ac:dyDescent="0.45">
      <c r="K357">
        <v>35744.368224817881</v>
      </c>
    </row>
    <row r="358" spans="11:11" x14ac:dyDescent="0.45">
      <c r="K358">
        <v>30622.690217841806</v>
      </c>
    </row>
    <row r="359" spans="11:11" x14ac:dyDescent="0.45">
      <c r="K359">
        <v>27711.109723872767</v>
      </c>
    </row>
    <row r="360" spans="11:11" x14ac:dyDescent="0.45">
      <c r="K360">
        <v>31336.807693962619</v>
      </c>
    </row>
    <row r="361" spans="11:11" x14ac:dyDescent="0.45">
      <c r="K361">
        <v>17391.675992236458</v>
      </c>
    </row>
    <row r="362" spans="11:11" x14ac:dyDescent="0.45">
      <c r="K362">
        <v>26646.772573072474</v>
      </c>
    </row>
    <row r="363" spans="11:11" x14ac:dyDescent="0.45">
      <c r="K363">
        <v>17704.562366373699</v>
      </c>
    </row>
    <row r="364" spans="11:11" x14ac:dyDescent="0.45">
      <c r="K364">
        <v>40689.741567091871</v>
      </c>
    </row>
    <row r="365" spans="11:11" x14ac:dyDescent="0.45">
      <c r="K365">
        <v>38230.708683210556</v>
      </c>
    </row>
    <row r="366" spans="11:11" x14ac:dyDescent="0.45">
      <c r="K366">
        <v>25355.806934822209</v>
      </c>
    </row>
    <row r="367" spans="11:11" x14ac:dyDescent="0.45">
      <c r="K367">
        <v>26082.394715630177</v>
      </c>
    </row>
    <row r="368" spans="11:11" x14ac:dyDescent="0.45">
      <c r="K368">
        <v>35790.702085503945</v>
      </c>
    </row>
    <row r="369" spans="11:11" x14ac:dyDescent="0.45">
      <c r="K369">
        <v>18733.88915287306</v>
      </c>
    </row>
    <row r="370" spans="11:11" x14ac:dyDescent="0.45">
      <c r="K370">
        <v>24068.673866990324</v>
      </c>
    </row>
    <row r="371" spans="11:11" x14ac:dyDescent="0.45">
      <c r="K371">
        <v>36517.87008443378</v>
      </c>
    </row>
    <row r="372" spans="11:11" x14ac:dyDescent="0.45">
      <c r="K372">
        <v>25193.478404924554</v>
      </c>
    </row>
    <row r="373" spans="11:11" x14ac:dyDescent="0.45">
      <c r="K373">
        <v>23647.211765301061</v>
      </c>
    </row>
    <row r="374" spans="11:11" x14ac:dyDescent="0.45">
      <c r="K374">
        <v>22003.265637109209</v>
      </c>
    </row>
    <row r="375" spans="11:11" x14ac:dyDescent="0.45">
      <c r="K375">
        <v>23090.589226052209</v>
      </c>
    </row>
    <row r="376" spans="11:11" x14ac:dyDescent="0.45">
      <c r="K376">
        <v>24693.615034435334</v>
      </c>
    </row>
    <row r="377" spans="11:11" x14ac:dyDescent="0.45">
      <c r="K377">
        <v>21014.049638220888</v>
      </c>
    </row>
    <row r="378" spans="11:11" x14ac:dyDescent="0.45">
      <c r="K378">
        <v>24052.239150803063</v>
      </c>
    </row>
    <row r="379" spans="11:11" x14ac:dyDescent="0.45">
      <c r="K379">
        <v>32016.265728585535</v>
      </c>
    </row>
    <row r="380" spans="11:11" x14ac:dyDescent="0.45">
      <c r="K380">
        <v>26358.561240781433</v>
      </c>
    </row>
    <row r="381" spans="11:11" x14ac:dyDescent="0.45">
      <c r="K381">
        <v>26351.276773183457</v>
      </c>
    </row>
    <row r="382" spans="11:11" x14ac:dyDescent="0.45">
      <c r="K382">
        <v>18768.349729179659</v>
      </c>
    </row>
    <row r="383" spans="11:11" x14ac:dyDescent="0.45">
      <c r="K383">
        <v>29413.560116072738</v>
      </c>
    </row>
    <row r="384" spans="11:11" x14ac:dyDescent="0.45">
      <c r="K384">
        <v>24016.98290544812</v>
      </c>
    </row>
    <row r="385" spans="11:11" x14ac:dyDescent="0.45">
      <c r="K385">
        <v>22984.090986732146</v>
      </c>
    </row>
    <row r="386" spans="11:11" x14ac:dyDescent="0.45">
      <c r="K386">
        <v>31510.177560732365</v>
      </c>
    </row>
    <row r="387" spans="11:11" x14ac:dyDescent="0.45">
      <c r="K387">
        <v>27319.314764646591</v>
      </c>
    </row>
    <row r="388" spans="11:11" x14ac:dyDescent="0.45">
      <c r="K388">
        <v>28064.220612829835</v>
      </c>
    </row>
    <row r="389" spans="11:11" x14ac:dyDescent="0.45">
      <c r="K389">
        <v>25937.841854485017</v>
      </c>
    </row>
    <row r="390" spans="11:11" x14ac:dyDescent="0.45">
      <c r="K390">
        <v>13040.121632031238</v>
      </c>
    </row>
    <row r="391" spans="11:11" x14ac:dyDescent="0.45">
      <c r="K391">
        <v>20159.389915733413</v>
      </c>
    </row>
    <row r="392" spans="11:11" x14ac:dyDescent="0.45">
      <c r="K392">
        <v>19634.142469762046</v>
      </c>
    </row>
    <row r="393" spans="11:11" x14ac:dyDescent="0.45">
      <c r="K393">
        <v>14737.891950663428</v>
      </c>
    </row>
    <row r="394" spans="11:11" x14ac:dyDescent="0.45">
      <c r="K394">
        <v>27712.926212837083</v>
      </c>
    </row>
    <row r="395" spans="11:11" x14ac:dyDescent="0.45">
      <c r="K395">
        <v>23544.35086664683</v>
      </c>
    </row>
    <row r="396" spans="11:11" x14ac:dyDescent="0.45">
      <c r="K396">
        <v>48380.144248006109</v>
      </c>
    </row>
    <row r="397" spans="11:11" x14ac:dyDescent="0.45">
      <c r="K397">
        <v>29195.67456510579</v>
      </c>
    </row>
    <row r="398" spans="11:11" x14ac:dyDescent="0.45">
      <c r="K398">
        <v>23706.859695004081</v>
      </c>
    </row>
    <row r="399" spans="11:11" x14ac:dyDescent="0.45">
      <c r="K399">
        <v>27929.545771005112</v>
      </c>
    </row>
    <row r="400" spans="11:11" x14ac:dyDescent="0.45">
      <c r="K400">
        <v>26382.710649599936</v>
      </c>
    </row>
    <row r="401" spans="11:11" x14ac:dyDescent="0.45">
      <c r="K401">
        <v>28857.269034600373</v>
      </c>
    </row>
    <row r="402" spans="11:11" x14ac:dyDescent="0.45">
      <c r="K402">
        <v>26751.015009209234</v>
      </c>
    </row>
    <row r="403" spans="11:11" x14ac:dyDescent="0.45">
      <c r="K403">
        <v>8082.9796507803221</v>
      </c>
    </row>
    <row r="404" spans="11:11" x14ac:dyDescent="0.45">
      <c r="K404">
        <v>17660.409538699521</v>
      </c>
    </row>
    <row r="405" spans="11:11" x14ac:dyDescent="0.45">
      <c r="K405">
        <v>23274.514832921152</v>
      </c>
    </row>
    <row r="406" spans="11:11" x14ac:dyDescent="0.45">
      <c r="K406">
        <v>27174.872670573786</v>
      </c>
    </row>
    <row r="407" spans="11:11" x14ac:dyDescent="0.45">
      <c r="K407">
        <v>13420.688265451256</v>
      </c>
    </row>
    <row r="408" spans="11:11" x14ac:dyDescent="0.45">
      <c r="K408">
        <v>30151.53836203659</v>
      </c>
    </row>
    <row r="409" spans="11:11" x14ac:dyDescent="0.45">
      <c r="K409">
        <v>25042.518404792707</v>
      </c>
    </row>
    <row r="410" spans="11:11" x14ac:dyDescent="0.45">
      <c r="K410">
        <v>15639.955012857716</v>
      </c>
    </row>
    <row r="411" spans="11:11" x14ac:dyDescent="0.45">
      <c r="K411">
        <v>27981.149156433614</v>
      </c>
    </row>
    <row r="412" spans="11:11" x14ac:dyDescent="0.45">
      <c r="K412">
        <v>28251.763296640354</v>
      </c>
    </row>
    <row r="413" spans="11:11" x14ac:dyDescent="0.45">
      <c r="K413">
        <v>30298.598477129512</v>
      </c>
    </row>
    <row r="414" spans="11:11" x14ac:dyDescent="0.45">
      <c r="K414">
        <v>21488.196428070351</v>
      </c>
    </row>
    <row r="415" spans="11:11" x14ac:dyDescent="0.45">
      <c r="K415">
        <v>24070.220037621573</v>
      </c>
    </row>
    <row r="416" spans="11:11" x14ac:dyDescent="0.45">
      <c r="K416">
        <v>21444.79276819354</v>
      </c>
    </row>
    <row r="417" spans="11:11" x14ac:dyDescent="0.45">
      <c r="K417">
        <v>35360.56267917381</v>
      </c>
    </row>
    <row r="418" spans="11:11" x14ac:dyDescent="0.45">
      <c r="K418">
        <v>19865.04596015103</v>
      </c>
    </row>
    <row r="419" spans="11:11" x14ac:dyDescent="0.45">
      <c r="K419">
        <v>24057.295791522018</v>
      </c>
    </row>
    <row r="420" spans="11:11" x14ac:dyDescent="0.45">
      <c r="K420">
        <v>23486.396577154508</v>
      </c>
    </row>
    <row r="421" spans="11:11" x14ac:dyDescent="0.45">
      <c r="K421">
        <v>23798.794647407336</v>
      </c>
    </row>
    <row r="422" spans="11:11" x14ac:dyDescent="0.45">
      <c r="K422">
        <v>30025.976818476007</v>
      </c>
    </row>
    <row r="423" spans="11:11" x14ac:dyDescent="0.45">
      <c r="K423">
        <v>28063.105801601767</v>
      </c>
    </row>
    <row r="424" spans="11:11" x14ac:dyDescent="0.45">
      <c r="K424">
        <v>23101.32206506392</v>
      </c>
    </row>
    <row r="425" spans="11:11" x14ac:dyDescent="0.45">
      <c r="K425">
        <v>25230.835948999153</v>
      </c>
    </row>
    <row r="426" spans="11:11" x14ac:dyDescent="0.45">
      <c r="K426">
        <v>33077.413131091067</v>
      </c>
    </row>
    <row r="427" spans="11:11" x14ac:dyDescent="0.45">
      <c r="K427">
        <v>11931.198469209876</v>
      </c>
    </row>
    <row r="428" spans="11:11" x14ac:dyDescent="0.45">
      <c r="K428">
        <v>27519.057307673935</v>
      </c>
    </row>
    <row r="429" spans="11:11" x14ac:dyDescent="0.45">
      <c r="K429">
        <v>23644.706654223439</v>
      </c>
    </row>
    <row r="430" spans="11:11" x14ac:dyDescent="0.45">
      <c r="K430">
        <v>36211.341236384462</v>
      </c>
    </row>
    <row r="431" spans="11:11" x14ac:dyDescent="0.45">
      <c r="K431">
        <v>31728.432983203384</v>
      </c>
    </row>
    <row r="432" spans="11:11" x14ac:dyDescent="0.45">
      <c r="K432">
        <v>5325.9271549215919</v>
      </c>
    </row>
    <row r="433" spans="11:11" x14ac:dyDescent="0.45">
      <c r="K433">
        <v>21362.13743489427</v>
      </c>
    </row>
    <row r="434" spans="11:11" x14ac:dyDescent="0.45">
      <c r="K434">
        <v>33895.860065356734</v>
      </c>
    </row>
    <row r="435" spans="11:11" x14ac:dyDescent="0.45">
      <c r="K435">
        <v>47826.466821430404</v>
      </c>
    </row>
    <row r="436" spans="11:11" x14ac:dyDescent="0.45">
      <c r="K436">
        <v>15048.06025741106</v>
      </c>
    </row>
    <row r="437" spans="11:11" x14ac:dyDescent="0.45">
      <c r="K437">
        <v>26642.590224368978</v>
      </c>
    </row>
    <row r="438" spans="11:11" x14ac:dyDescent="0.45">
      <c r="K438">
        <v>24673.533895110308</v>
      </c>
    </row>
    <row r="439" spans="11:11" x14ac:dyDescent="0.45">
      <c r="K439">
        <v>29697.35569336827</v>
      </c>
    </row>
    <row r="440" spans="11:11" x14ac:dyDescent="0.45">
      <c r="K440">
        <v>30516.7640688912</v>
      </c>
    </row>
    <row r="441" spans="11:11" x14ac:dyDescent="0.45">
      <c r="K441">
        <v>28490.897933586282</v>
      </c>
    </row>
    <row r="442" spans="11:11" x14ac:dyDescent="0.45">
      <c r="K442">
        <v>15192.611761620557</v>
      </c>
    </row>
    <row r="443" spans="11:11" x14ac:dyDescent="0.45">
      <c r="K443">
        <v>36194.333051137306</v>
      </c>
    </row>
    <row r="444" spans="11:11" x14ac:dyDescent="0.45">
      <c r="K444">
        <v>40001.604283177825</v>
      </c>
    </row>
    <row r="445" spans="11:11" x14ac:dyDescent="0.45">
      <c r="K445">
        <v>22544.785922121468</v>
      </c>
    </row>
    <row r="446" spans="11:11" x14ac:dyDescent="0.45">
      <c r="K446">
        <v>28591.869068793098</v>
      </c>
    </row>
    <row r="447" spans="11:11" x14ac:dyDescent="0.45">
      <c r="K447">
        <v>31622.708675801288</v>
      </c>
    </row>
    <row r="448" spans="11:11" x14ac:dyDescent="0.45">
      <c r="K448">
        <v>24427.110881897435</v>
      </c>
    </row>
    <row r="449" spans="11:11" x14ac:dyDescent="0.45">
      <c r="K449">
        <v>24476.514535566381</v>
      </c>
    </row>
    <row r="450" spans="11:11" x14ac:dyDescent="0.45">
      <c r="K450">
        <v>32744.944676033178</v>
      </c>
    </row>
    <row r="451" spans="11:11" x14ac:dyDescent="0.45">
      <c r="K451">
        <v>24054.030571349253</v>
      </c>
    </row>
    <row r="452" spans="11:11" x14ac:dyDescent="0.45">
      <c r="K452">
        <v>27971.198950488029</v>
      </c>
    </row>
    <row r="453" spans="11:11" x14ac:dyDescent="0.45">
      <c r="K453">
        <v>29518.110875124476</v>
      </c>
    </row>
    <row r="454" spans="11:11" x14ac:dyDescent="0.45">
      <c r="K454">
        <v>24374.365808196686</v>
      </c>
    </row>
    <row r="455" spans="11:11" x14ac:dyDescent="0.45">
      <c r="K455">
        <v>22053.335594873599</v>
      </c>
    </row>
    <row r="456" spans="11:11" x14ac:dyDescent="0.45">
      <c r="K456">
        <v>14757.648013555823</v>
      </c>
    </row>
    <row r="457" spans="11:11" x14ac:dyDescent="0.45">
      <c r="K457">
        <v>19334.824337849786</v>
      </c>
    </row>
    <row r="458" spans="11:11" x14ac:dyDescent="0.45">
      <c r="K458">
        <v>10944.719411075655</v>
      </c>
    </row>
    <row r="459" spans="11:11" x14ac:dyDescent="0.45">
      <c r="K459">
        <v>18583.207365822393</v>
      </c>
    </row>
    <row r="460" spans="11:11" x14ac:dyDescent="0.45">
      <c r="K460">
        <v>31510.253343900473</v>
      </c>
    </row>
    <row r="461" spans="11:11" x14ac:dyDescent="0.45">
      <c r="K461">
        <v>33410.028913620838</v>
      </c>
    </row>
    <row r="462" spans="11:11" x14ac:dyDescent="0.45">
      <c r="K462">
        <v>25574.614347753701</v>
      </c>
    </row>
    <row r="463" spans="11:11" x14ac:dyDescent="0.45">
      <c r="K463">
        <v>30245.413154188969</v>
      </c>
    </row>
    <row r="464" spans="11:11" x14ac:dyDescent="0.45">
      <c r="K464">
        <v>12534.925069777852</v>
      </c>
    </row>
    <row r="465" spans="11:11" x14ac:dyDescent="0.45">
      <c r="K465">
        <v>24954.209836025897</v>
      </c>
    </row>
    <row r="466" spans="11:11" x14ac:dyDescent="0.45">
      <c r="K466">
        <v>22709.712021828356</v>
      </c>
    </row>
    <row r="467" spans="11:11" x14ac:dyDescent="0.45">
      <c r="K467">
        <v>21359.626775182063</v>
      </c>
    </row>
    <row r="468" spans="11:11" x14ac:dyDescent="0.45">
      <c r="K468">
        <v>29018.963424818074</v>
      </c>
    </row>
    <row r="469" spans="11:11" x14ac:dyDescent="0.45">
      <c r="K469">
        <v>31496.268255826806</v>
      </c>
    </row>
    <row r="470" spans="11:11" x14ac:dyDescent="0.45">
      <c r="K470">
        <v>32063.218155667448</v>
      </c>
    </row>
    <row r="471" spans="11:11" x14ac:dyDescent="0.45">
      <c r="K471">
        <v>34861.614569096288</v>
      </c>
    </row>
    <row r="472" spans="11:11" x14ac:dyDescent="0.45">
      <c r="K472">
        <v>28252.447137116691</v>
      </c>
    </row>
    <row r="473" spans="11:11" x14ac:dyDescent="0.45">
      <c r="K473">
        <v>19939.140714065736</v>
      </c>
    </row>
    <row r="474" spans="11:11" x14ac:dyDescent="0.45">
      <c r="K474">
        <v>29680.458687220817</v>
      </c>
    </row>
    <row r="475" spans="11:11" x14ac:dyDescent="0.45">
      <c r="K475">
        <v>21097.282330577887</v>
      </c>
    </row>
    <row r="476" spans="11:11" x14ac:dyDescent="0.45">
      <c r="K476">
        <v>22786.483967207474</v>
      </c>
    </row>
    <row r="477" spans="11:11" x14ac:dyDescent="0.45">
      <c r="K477">
        <v>19463.114874667142</v>
      </c>
    </row>
    <row r="478" spans="11:11" x14ac:dyDescent="0.45">
      <c r="K478">
        <v>28790.534614406228</v>
      </c>
    </row>
    <row r="479" spans="11:11" x14ac:dyDescent="0.45">
      <c r="K479">
        <v>32929.384091457614</v>
      </c>
    </row>
    <row r="480" spans="11:11" x14ac:dyDescent="0.45">
      <c r="K480">
        <v>35031.890074380906</v>
      </c>
    </row>
    <row r="481" spans="11:11" x14ac:dyDescent="0.45">
      <c r="K481">
        <v>28862.469677315046</v>
      </c>
    </row>
    <row r="482" spans="11:11" x14ac:dyDescent="0.45">
      <c r="K482">
        <v>34520.780412155756</v>
      </c>
    </row>
    <row r="483" spans="11:11" x14ac:dyDescent="0.45">
      <c r="K483">
        <v>26526.171430602553</v>
      </c>
    </row>
    <row r="484" spans="11:11" x14ac:dyDescent="0.45">
      <c r="K484">
        <v>24932.108698246993</v>
      </c>
    </row>
    <row r="485" spans="11:11" x14ac:dyDescent="0.45">
      <c r="K485">
        <v>16510.396113648258</v>
      </c>
    </row>
    <row r="486" spans="11:11" x14ac:dyDescent="0.45">
      <c r="K486">
        <v>23142.17535430974</v>
      </c>
    </row>
    <row r="487" spans="11:11" x14ac:dyDescent="0.45">
      <c r="K487">
        <v>15708.543250665673</v>
      </c>
    </row>
    <row r="488" spans="11:11" x14ac:dyDescent="0.45">
      <c r="K488">
        <v>30538.884707440739</v>
      </c>
    </row>
    <row r="489" spans="11:11" x14ac:dyDescent="0.45">
      <c r="K489">
        <v>18200.968517069174</v>
      </c>
    </row>
    <row r="490" spans="11:11" x14ac:dyDescent="0.45">
      <c r="K490">
        <v>18123.720634193138</v>
      </c>
    </row>
    <row r="491" spans="11:11" x14ac:dyDescent="0.45">
      <c r="K491">
        <v>35684.145925835473</v>
      </c>
    </row>
    <row r="492" spans="11:11" x14ac:dyDescent="0.45">
      <c r="K492">
        <v>23728.920526680326</v>
      </c>
    </row>
    <row r="493" spans="11:11" x14ac:dyDescent="0.45">
      <c r="K493">
        <v>20360.22748763402</v>
      </c>
    </row>
    <row r="494" spans="11:11" x14ac:dyDescent="0.45">
      <c r="K494">
        <v>18557.687564958647</v>
      </c>
    </row>
    <row r="495" spans="11:11" x14ac:dyDescent="0.45">
      <c r="K495">
        <v>19875.343798532962</v>
      </c>
    </row>
    <row r="496" spans="11:11" x14ac:dyDescent="0.45">
      <c r="K496">
        <v>12530.833254348194</v>
      </c>
    </row>
    <row r="497" spans="11:11" x14ac:dyDescent="0.45">
      <c r="K497">
        <v>17838.313284323871</v>
      </c>
    </row>
    <row r="498" spans="11:11" x14ac:dyDescent="0.45">
      <c r="K498">
        <v>41859.506125559114</v>
      </c>
    </row>
    <row r="499" spans="11:11" x14ac:dyDescent="0.45">
      <c r="K499">
        <v>25813.432453966063</v>
      </c>
    </row>
    <row r="500" spans="11:11" x14ac:dyDescent="0.45">
      <c r="K500">
        <v>21936.864478698713</v>
      </c>
    </row>
    <row r="501" spans="11:11" x14ac:dyDescent="0.45">
      <c r="K501">
        <v>15141.127022470348</v>
      </c>
    </row>
    <row r="502" spans="11:11" x14ac:dyDescent="0.45">
      <c r="K502">
        <v>15673.39773459792</v>
      </c>
    </row>
    <row r="503" spans="11:11" x14ac:dyDescent="0.45">
      <c r="K503">
        <v>23980.883460540088</v>
      </c>
    </row>
    <row r="504" spans="11:11" x14ac:dyDescent="0.45">
      <c r="K504">
        <v>38992.042306143223</v>
      </c>
    </row>
    <row r="505" spans="11:11" x14ac:dyDescent="0.45">
      <c r="K505">
        <v>21327.920844716544</v>
      </c>
    </row>
    <row r="506" spans="11:11" x14ac:dyDescent="0.45">
      <c r="K506">
        <v>19385.277172621187</v>
      </c>
    </row>
    <row r="507" spans="11:11" x14ac:dyDescent="0.45">
      <c r="K507">
        <v>37554.855320300485</v>
      </c>
    </row>
    <row r="508" spans="11:11" x14ac:dyDescent="0.45">
      <c r="K508">
        <v>21831.7627098099</v>
      </c>
    </row>
    <row r="509" spans="11:11" x14ac:dyDescent="0.45">
      <c r="K509">
        <v>23788.295484486534</v>
      </c>
    </row>
    <row r="510" spans="11:11" x14ac:dyDescent="0.45">
      <c r="K510">
        <v>39442.398712572423</v>
      </c>
    </row>
    <row r="511" spans="11:11" x14ac:dyDescent="0.45">
      <c r="K511">
        <v>20016.365601781123</v>
      </c>
    </row>
    <row r="512" spans="11:11" x14ac:dyDescent="0.45">
      <c r="K512">
        <v>22493.788071266856</v>
      </c>
    </row>
    <row r="513" spans="11:11" x14ac:dyDescent="0.45">
      <c r="K513">
        <v>21160.093263739363</v>
      </c>
    </row>
    <row r="514" spans="11:11" x14ac:dyDescent="0.45">
      <c r="K514">
        <v>26715.587126177656</v>
      </c>
    </row>
    <row r="515" spans="11:11" x14ac:dyDescent="0.45">
      <c r="K515">
        <v>5643.6110726255756</v>
      </c>
    </row>
    <row r="516" spans="11:11" x14ac:dyDescent="0.45">
      <c r="K516">
        <v>27642.057786608992</v>
      </c>
    </row>
    <row r="517" spans="11:11" x14ac:dyDescent="0.45">
      <c r="K517">
        <v>18766.899391157691</v>
      </c>
    </row>
    <row r="518" spans="11:11" x14ac:dyDescent="0.45">
      <c r="K518">
        <v>3933.9066011801624</v>
      </c>
    </row>
    <row r="519" spans="11:11" x14ac:dyDescent="0.45">
      <c r="K519">
        <v>26062.046394733021</v>
      </c>
    </row>
    <row r="520" spans="11:11" x14ac:dyDescent="0.45">
      <c r="K520">
        <v>41974.968730379114</v>
      </c>
    </row>
    <row r="521" spans="11:11" x14ac:dyDescent="0.45">
      <c r="K521">
        <v>24473.579375109493</v>
      </c>
    </row>
    <row r="522" spans="11:11" x14ac:dyDescent="0.45">
      <c r="K522">
        <v>21290.5304425422</v>
      </c>
    </row>
    <row r="523" spans="11:11" x14ac:dyDescent="0.45">
      <c r="K523">
        <v>31047.027463653176</v>
      </c>
    </row>
    <row r="524" spans="11:11" x14ac:dyDescent="0.45">
      <c r="K524">
        <v>29099.676716938997</v>
      </c>
    </row>
    <row r="525" spans="11:11" x14ac:dyDescent="0.45">
      <c r="K525">
        <v>21296.688376659877</v>
      </c>
    </row>
    <row r="526" spans="11:11" x14ac:dyDescent="0.45">
      <c r="K526">
        <v>10206.458149961301</v>
      </c>
    </row>
    <row r="527" spans="11:11" x14ac:dyDescent="0.45">
      <c r="K527">
        <v>28173.767344104934</v>
      </c>
    </row>
    <row r="528" spans="11:11" x14ac:dyDescent="0.45">
      <c r="K528">
        <v>21138.65328486549</v>
      </c>
    </row>
    <row r="529" spans="11:11" x14ac:dyDescent="0.45">
      <c r="K529">
        <v>25454.453775809303</v>
      </c>
    </row>
    <row r="530" spans="11:11" x14ac:dyDescent="0.45">
      <c r="K530">
        <v>20171.391274831843</v>
      </c>
    </row>
    <row r="531" spans="11:11" x14ac:dyDescent="0.45">
      <c r="K531">
        <v>40828.691413297893</v>
      </c>
    </row>
    <row r="532" spans="11:11" x14ac:dyDescent="0.45">
      <c r="K532">
        <v>14186.42154514363</v>
      </c>
    </row>
    <row r="533" spans="11:11" x14ac:dyDescent="0.45">
      <c r="K533">
        <v>9324.7151538657308</v>
      </c>
    </row>
    <row r="534" spans="11:11" x14ac:dyDescent="0.45">
      <c r="K534">
        <v>37890.334583992008</v>
      </c>
    </row>
    <row r="535" spans="11:11" x14ac:dyDescent="0.45">
      <c r="K535">
        <v>25933.414165074249</v>
      </c>
    </row>
    <row r="536" spans="11:11" x14ac:dyDescent="0.45">
      <c r="K536">
        <v>15764.327692152456</v>
      </c>
    </row>
    <row r="537" spans="11:11" x14ac:dyDescent="0.45">
      <c r="K537">
        <v>29412.291914468802</v>
      </c>
    </row>
    <row r="538" spans="11:11" x14ac:dyDescent="0.45">
      <c r="K538">
        <v>22863.081122950927</v>
      </c>
    </row>
    <row r="539" spans="11:11" x14ac:dyDescent="0.45">
      <c r="K539">
        <v>34758.686165154068</v>
      </c>
    </row>
    <row r="540" spans="11:11" x14ac:dyDescent="0.45">
      <c r="K540">
        <v>18913.411980806297</v>
      </c>
    </row>
    <row r="541" spans="11:11" x14ac:dyDescent="0.45">
      <c r="K541">
        <v>14836.034938457635</v>
      </c>
    </row>
    <row r="542" spans="11:11" x14ac:dyDescent="0.45">
      <c r="K542">
        <v>39870.60669356669</v>
      </c>
    </row>
    <row r="543" spans="11:11" x14ac:dyDescent="0.45">
      <c r="K543">
        <v>18415.410023494602</v>
      </c>
    </row>
    <row r="544" spans="11:11" x14ac:dyDescent="0.45">
      <c r="K544">
        <v>24345.79912929441</v>
      </c>
    </row>
    <row r="545" spans="11:11" x14ac:dyDescent="0.45">
      <c r="K545">
        <v>27526.01714315448</v>
      </c>
    </row>
    <row r="546" spans="11:11" x14ac:dyDescent="0.45">
      <c r="K546">
        <v>11994.287223506652</v>
      </c>
    </row>
    <row r="547" spans="11:11" x14ac:dyDescent="0.45">
      <c r="K547">
        <v>32451.592340802796</v>
      </c>
    </row>
    <row r="548" spans="11:11" x14ac:dyDescent="0.45">
      <c r="K548">
        <v>24345.023339170395</v>
      </c>
    </row>
    <row r="549" spans="11:11" x14ac:dyDescent="0.45">
      <c r="K549">
        <v>43069.461577518981</v>
      </c>
    </row>
    <row r="550" spans="11:11" x14ac:dyDescent="0.45">
      <c r="K550">
        <v>29195.815660765009</v>
      </c>
    </row>
    <row r="551" spans="11:11" x14ac:dyDescent="0.45">
      <c r="K551">
        <v>19757.615181955167</v>
      </c>
    </row>
    <row r="552" spans="11:11" x14ac:dyDescent="0.45">
      <c r="K552">
        <v>40958.957707861606</v>
      </c>
    </row>
    <row r="553" spans="11:11" x14ac:dyDescent="0.45">
      <c r="K553">
        <v>19504.173649149816</v>
      </c>
    </row>
    <row r="554" spans="11:11" x14ac:dyDescent="0.45">
      <c r="K554">
        <v>26931.761770210585</v>
      </c>
    </row>
    <row r="555" spans="11:11" x14ac:dyDescent="0.45">
      <c r="K555">
        <v>33097.283467616966</v>
      </c>
    </row>
    <row r="556" spans="11:11" x14ac:dyDescent="0.45">
      <c r="K556">
        <v>27650.454706901881</v>
      </c>
    </row>
    <row r="557" spans="11:11" x14ac:dyDescent="0.45">
      <c r="K557">
        <v>29242.272028329309</v>
      </c>
    </row>
    <row r="558" spans="11:11" x14ac:dyDescent="0.45">
      <c r="K558">
        <v>18617.449214023272</v>
      </c>
    </row>
    <row r="559" spans="11:11" x14ac:dyDescent="0.45">
      <c r="K559">
        <v>28414.485277944124</v>
      </c>
    </row>
    <row r="560" spans="11:11" x14ac:dyDescent="0.45">
      <c r="K560">
        <v>25757.478099132426</v>
      </c>
    </row>
    <row r="561" spans="11:11" x14ac:dyDescent="0.45">
      <c r="K561">
        <v>39228.141957401669</v>
      </c>
    </row>
    <row r="562" spans="11:11" x14ac:dyDescent="0.45">
      <c r="K562">
        <v>22783.718355488611</v>
      </c>
    </row>
    <row r="563" spans="11:11" x14ac:dyDescent="0.45">
      <c r="K563">
        <v>34049.212599295635</v>
      </c>
    </row>
    <row r="564" spans="11:11" x14ac:dyDescent="0.45">
      <c r="K564">
        <v>19124.889443086038</v>
      </c>
    </row>
    <row r="565" spans="11:11" x14ac:dyDescent="0.45">
      <c r="K565">
        <v>25762.96199583921</v>
      </c>
    </row>
    <row r="566" spans="11:11" x14ac:dyDescent="0.45">
      <c r="K566">
        <v>41452.195699000331</v>
      </c>
    </row>
    <row r="567" spans="11:11" x14ac:dyDescent="0.45">
      <c r="K567">
        <v>20337.565358393716</v>
      </c>
    </row>
    <row r="568" spans="11:11" x14ac:dyDescent="0.45">
      <c r="K568">
        <v>30704.647638957933</v>
      </c>
    </row>
    <row r="569" spans="11:11" x14ac:dyDescent="0.45">
      <c r="K569">
        <v>35892.123503343566</v>
      </c>
    </row>
    <row r="570" spans="11:11" x14ac:dyDescent="0.45">
      <c r="K570">
        <v>28895.717075108609</v>
      </c>
    </row>
    <row r="571" spans="11:11" x14ac:dyDescent="0.45">
      <c r="K571">
        <v>27590.949802479747</v>
      </c>
    </row>
    <row r="572" spans="11:11" x14ac:dyDescent="0.45">
      <c r="K572">
        <v>24696.459074451486</v>
      </c>
    </row>
    <row r="573" spans="11:11" x14ac:dyDescent="0.45">
      <c r="K573">
        <v>10339.803915466196</v>
      </c>
    </row>
    <row r="574" spans="11:11" x14ac:dyDescent="0.45">
      <c r="K574">
        <v>26256.832865940549</v>
      </c>
    </row>
    <row r="575" spans="11:11" x14ac:dyDescent="0.45">
      <c r="K575">
        <v>29844.416158056076</v>
      </c>
    </row>
    <row r="576" spans="11:11" x14ac:dyDescent="0.45">
      <c r="K576">
        <v>21670.954601361198</v>
      </c>
    </row>
    <row r="577" spans="11:11" x14ac:dyDescent="0.45">
      <c r="K577">
        <v>21639.231795746258</v>
      </c>
    </row>
    <row r="578" spans="11:11" x14ac:dyDescent="0.45">
      <c r="K578">
        <v>30054.28503467975</v>
      </c>
    </row>
    <row r="579" spans="11:11" x14ac:dyDescent="0.45">
      <c r="K579">
        <v>10341.365618252334</v>
      </c>
    </row>
    <row r="580" spans="11:11" x14ac:dyDescent="0.45">
      <c r="K580">
        <v>25076.5913564205</v>
      </c>
    </row>
    <row r="581" spans="11:11" x14ac:dyDescent="0.45">
      <c r="K581">
        <v>29379.10686371562</v>
      </c>
    </row>
    <row r="582" spans="11:11" x14ac:dyDescent="0.45">
      <c r="K582">
        <v>12855.793594422707</v>
      </c>
    </row>
    <row r="583" spans="11:11" x14ac:dyDescent="0.45">
      <c r="K583">
        <v>20198.976059700261</v>
      </c>
    </row>
    <row r="584" spans="11:11" x14ac:dyDescent="0.45">
      <c r="K584">
        <v>31215.490372329747</v>
      </c>
    </row>
    <row r="585" spans="11:11" x14ac:dyDescent="0.45">
      <c r="K585">
        <v>25628.08020070698</v>
      </c>
    </row>
    <row r="586" spans="11:11" x14ac:dyDescent="0.45">
      <c r="K586">
        <v>32775.090228953755</v>
      </c>
    </row>
    <row r="587" spans="11:11" x14ac:dyDescent="0.45">
      <c r="K587">
        <v>31575.104458191763</v>
      </c>
    </row>
    <row r="588" spans="11:11" x14ac:dyDescent="0.45">
      <c r="K588">
        <v>49777.524322560283</v>
      </c>
    </row>
    <row r="589" spans="11:11" x14ac:dyDescent="0.45">
      <c r="K589">
        <v>13714.323934420279</v>
      </c>
    </row>
    <row r="590" spans="11:11" x14ac:dyDescent="0.45">
      <c r="K590">
        <v>29615.559882710531</v>
      </c>
    </row>
    <row r="591" spans="11:11" x14ac:dyDescent="0.45">
      <c r="K591">
        <v>19949.594570414942</v>
      </c>
    </row>
    <row r="592" spans="11:11" x14ac:dyDescent="0.45">
      <c r="K592">
        <v>26573.787519812875</v>
      </c>
    </row>
    <row r="593" spans="11:11" x14ac:dyDescent="0.45">
      <c r="K593">
        <v>8544.7993062153291</v>
      </c>
    </row>
    <row r="594" spans="11:11" x14ac:dyDescent="0.45">
      <c r="K594">
        <v>25427.335401364766</v>
      </c>
    </row>
    <row r="595" spans="11:11" x14ac:dyDescent="0.45">
      <c r="K595">
        <v>25252.899803472599</v>
      </c>
    </row>
    <row r="596" spans="11:11" x14ac:dyDescent="0.45">
      <c r="K596">
        <v>9512.4512419574548</v>
      </c>
    </row>
    <row r="597" spans="11:11" x14ac:dyDescent="0.45">
      <c r="K597">
        <v>22823.205501810178</v>
      </c>
    </row>
    <row r="598" spans="11:11" x14ac:dyDescent="0.45">
      <c r="K598">
        <v>39914.057757103219</v>
      </c>
    </row>
    <row r="599" spans="11:11" x14ac:dyDescent="0.45">
      <c r="K599">
        <v>40940.898534584077</v>
      </c>
    </row>
    <row r="600" spans="11:11" x14ac:dyDescent="0.45">
      <c r="K600">
        <v>19261.805478458213</v>
      </c>
    </row>
    <row r="601" spans="11:11" x14ac:dyDescent="0.45">
      <c r="K601">
        <v>19046.096932508241</v>
      </c>
    </row>
    <row r="602" spans="11:11" x14ac:dyDescent="0.45">
      <c r="K602">
        <v>27660.389869889164</v>
      </c>
    </row>
    <row r="603" spans="11:11" x14ac:dyDescent="0.45">
      <c r="K603">
        <v>32899.504886055693</v>
      </c>
    </row>
    <row r="604" spans="11:11" x14ac:dyDescent="0.45">
      <c r="K604">
        <v>11804.815764969724</v>
      </c>
    </row>
    <row r="605" spans="11:11" x14ac:dyDescent="0.45">
      <c r="K605">
        <v>23653.903896860313</v>
      </c>
    </row>
    <row r="606" spans="11:11" x14ac:dyDescent="0.45">
      <c r="K606">
        <v>19315.373702889978</v>
      </c>
    </row>
    <row r="607" spans="11:11" x14ac:dyDescent="0.45">
      <c r="K607">
        <v>15793.226781933467</v>
      </c>
    </row>
    <row r="608" spans="11:11" x14ac:dyDescent="0.45">
      <c r="K608">
        <v>19577.974722380699</v>
      </c>
    </row>
    <row r="609" spans="11:11" x14ac:dyDescent="0.45">
      <c r="K609">
        <v>34359.205687008522</v>
      </c>
    </row>
    <row r="610" spans="11:11" x14ac:dyDescent="0.45">
      <c r="K610">
        <v>27556.209065441268</v>
      </c>
    </row>
    <row r="611" spans="11:11" x14ac:dyDescent="0.45">
      <c r="K611">
        <v>18798.035064795084</v>
      </c>
    </row>
    <row r="612" spans="11:11" x14ac:dyDescent="0.45">
      <c r="K612">
        <v>44765.059010663666</v>
      </c>
    </row>
    <row r="613" spans="11:11" x14ac:dyDescent="0.45">
      <c r="K613">
        <v>37574.501432961857</v>
      </c>
    </row>
    <row r="614" spans="11:11" x14ac:dyDescent="0.45">
      <c r="K614">
        <v>23273.994841993972</v>
      </c>
    </row>
    <row r="615" spans="11:11" x14ac:dyDescent="0.45">
      <c r="K615">
        <v>20534.862738847853</v>
      </c>
    </row>
    <row r="616" spans="11:11" x14ac:dyDescent="0.45">
      <c r="K616">
        <v>33583.688884443131</v>
      </c>
    </row>
    <row r="617" spans="11:11" x14ac:dyDescent="0.45">
      <c r="K617">
        <v>32722.646052920019</v>
      </c>
    </row>
    <row r="618" spans="11:11" x14ac:dyDescent="0.45">
      <c r="K618">
        <v>26499.454683950629</v>
      </c>
    </row>
    <row r="619" spans="11:11" x14ac:dyDescent="0.45">
      <c r="K619">
        <v>27477.638834043748</v>
      </c>
    </row>
    <row r="620" spans="11:11" x14ac:dyDescent="0.45">
      <c r="K620">
        <v>21418.580548684702</v>
      </c>
    </row>
    <row r="621" spans="11:11" x14ac:dyDescent="0.45">
      <c r="K621">
        <v>28221.633706826997</v>
      </c>
    </row>
    <row r="622" spans="11:11" x14ac:dyDescent="0.45">
      <c r="K622">
        <v>37759.556537611541</v>
      </c>
    </row>
    <row r="623" spans="11:11" x14ac:dyDescent="0.45">
      <c r="K623">
        <v>20710.277343119582</v>
      </c>
    </row>
    <row r="624" spans="11:11" x14ac:dyDescent="0.45">
      <c r="K624">
        <v>4536.7986464659407</v>
      </c>
    </row>
    <row r="625" spans="11:11" x14ac:dyDescent="0.45">
      <c r="K625">
        <v>4049.3939592905044</v>
      </c>
    </row>
    <row r="626" spans="11:11" x14ac:dyDescent="0.45">
      <c r="K626">
        <v>13208.226756236412</v>
      </c>
    </row>
    <row r="627" spans="11:11" x14ac:dyDescent="0.45">
      <c r="K627">
        <v>28876.328750450029</v>
      </c>
    </row>
    <row r="628" spans="11:11" x14ac:dyDescent="0.45">
      <c r="K628">
        <v>22379.140731647447</v>
      </c>
    </row>
    <row r="629" spans="11:11" x14ac:dyDescent="0.45">
      <c r="K629">
        <v>38978.624070505175</v>
      </c>
    </row>
    <row r="630" spans="11:11" x14ac:dyDescent="0.45">
      <c r="K630">
        <v>25812.802636041921</v>
      </c>
    </row>
    <row r="631" spans="11:11" x14ac:dyDescent="0.45">
      <c r="K631">
        <v>25489.374706773422</v>
      </c>
    </row>
    <row r="632" spans="11:11" x14ac:dyDescent="0.45">
      <c r="K632">
        <v>26154.61656114968</v>
      </c>
    </row>
    <row r="633" spans="11:11" x14ac:dyDescent="0.45">
      <c r="K633">
        <v>34109.422979917632</v>
      </c>
    </row>
    <row r="634" spans="11:11" x14ac:dyDescent="0.45">
      <c r="K634">
        <v>13961.355789670781</v>
      </c>
    </row>
    <row r="635" spans="11:11" x14ac:dyDescent="0.45">
      <c r="K635">
        <v>21980.054907237965</v>
      </c>
    </row>
    <row r="636" spans="11:11" x14ac:dyDescent="0.45">
      <c r="K636">
        <v>30468.387004419885</v>
      </c>
    </row>
    <row r="637" spans="11:11" x14ac:dyDescent="0.45">
      <c r="K637">
        <v>25334.071896593505</v>
      </c>
    </row>
    <row r="638" spans="11:11" x14ac:dyDescent="0.45">
      <c r="K638">
        <v>25486.254822032774</v>
      </c>
    </row>
    <row r="639" spans="11:11" x14ac:dyDescent="0.45">
      <c r="K639">
        <v>17594.58361390233</v>
      </c>
    </row>
    <row r="640" spans="11:11" x14ac:dyDescent="0.45">
      <c r="K640">
        <v>19597.7099946366</v>
      </c>
    </row>
    <row r="641" spans="11:11" x14ac:dyDescent="0.45">
      <c r="K641">
        <v>20647.852397978022</v>
      </c>
    </row>
    <row r="642" spans="11:11" x14ac:dyDescent="0.45">
      <c r="K642">
        <v>37862.008572042861</v>
      </c>
    </row>
    <row r="643" spans="11:11" x14ac:dyDescent="0.45">
      <c r="K643">
        <v>27825.099584583739</v>
      </c>
    </row>
    <row r="644" spans="11:11" x14ac:dyDescent="0.45">
      <c r="K644">
        <v>13570.820761389659</v>
      </c>
    </row>
    <row r="645" spans="11:11" x14ac:dyDescent="0.45">
      <c r="K645">
        <v>28395.507059028598</v>
      </c>
    </row>
    <row r="646" spans="11:11" x14ac:dyDescent="0.45">
      <c r="K646">
        <v>21659.905530751043</v>
      </c>
    </row>
    <row r="647" spans="11:11" x14ac:dyDescent="0.45">
      <c r="K647">
        <v>30187.892404150822</v>
      </c>
    </row>
    <row r="648" spans="11:11" x14ac:dyDescent="0.45">
      <c r="K648">
        <v>20388.0553531439</v>
      </c>
    </row>
    <row r="649" spans="11:11" x14ac:dyDescent="0.45">
      <c r="K649">
        <v>20055.902133158288</v>
      </c>
    </row>
    <row r="650" spans="11:11" x14ac:dyDescent="0.45">
      <c r="K650">
        <v>20233.955851509036</v>
      </c>
    </row>
    <row r="651" spans="11:11" x14ac:dyDescent="0.45">
      <c r="K651">
        <v>29138.098613939921</v>
      </c>
    </row>
    <row r="652" spans="11:11" x14ac:dyDescent="0.45">
      <c r="K652">
        <v>20931.873043529882</v>
      </c>
    </row>
    <row r="653" spans="11:11" x14ac:dyDescent="0.45">
      <c r="K653">
        <v>21342.322795628566</v>
      </c>
    </row>
    <row r="654" spans="11:11" x14ac:dyDescent="0.45">
      <c r="K654">
        <v>20328.811279897138</v>
      </c>
    </row>
    <row r="655" spans="11:11" x14ac:dyDescent="0.45">
      <c r="K655">
        <v>28967.273439402437</v>
      </c>
    </row>
    <row r="656" spans="11:11" x14ac:dyDescent="0.45">
      <c r="K656">
        <v>20704.887655368515</v>
      </c>
    </row>
    <row r="657" spans="11:11" x14ac:dyDescent="0.45">
      <c r="K657">
        <v>17116.455689292838</v>
      </c>
    </row>
    <row r="658" spans="11:11" x14ac:dyDescent="0.45">
      <c r="K658">
        <v>31165.087972093806</v>
      </c>
    </row>
    <row r="659" spans="11:11" x14ac:dyDescent="0.45">
      <c r="K659">
        <v>22633.165068567399</v>
      </c>
    </row>
    <row r="660" spans="11:11" x14ac:dyDescent="0.45">
      <c r="K660">
        <v>23410.402803739747</v>
      </c>
    </row>
    <row r="661" spans="11:11" x14ac:dyDescent="0.45">
      <c r="K661">
        <v>19418.622691951605</v>
      </c>
    </row>
    <row r="662" spans="11:11" x14ac:dyDescent="0.45">
      <c r="K662">
        <v>15369.46619345257</v>
      </c>
    </row>
    <row r="663" spans="11:11" x14ac:dyDescent="0.45">
      <c r="K663">
        <v>32105.727296364032</v>
      </c>
    </row>
    <row r="664" spans="11:11" x14ac:dyDescent="0.45">
      <c r="K664">
        <v>22971.668123173888</v>
      </c>
    </row>
    <row r="665" spans="11:11" x14ac:dyDescent="0.45">
      <c r="K665">
        <v>28833.462294019919</v>
      </c>
    </row>
    <row r="666" spans="11:11" x14ac:dyDescent="0.45">
      <c r="K666">
        <v>13532.572911664001</v>
      </c>
    </row>
    <row r="667" spans="11:11" x14ac:dyDescent="0.45">
      <c r="K667">
        <v>37382.97719421504</v>
      </c>
    </row>
    <row r="668" spans="11:11" x14ac:dyDescent="0.45">
      <c r="K668">
        <v>25640.492697669786</v>
      </c>
    </row>
    <row r="669" spans="11:11" x14ac:dyDescent="0.45">
      <c r="K669">
        <v>37426.643116559964</v>
      </c>
    </row>
    <row r="670" spans="11:11" x14ac:dyDescent="0.45">
      <c r="K670">
        <v>25483.899380395997</v>
      </c>
    </row>
    <row r="671" spans="11:11" x14ac:dyDescent="0.45">
      <c r="K671">
        <v>27752.871883825923</v>
      </c>
    </row>
    <row r="672" spans="11:11" x14ac:dyDescent="0.45">
      <c r="K672">
        <v>16408.358992729729</v>
      </c>
    </row>
    <row r="673" spans="11:11" x14ac:dyDescent="0.45">
      <c r="K673">
        <v>23728.859180612781</v>
      </c>
    </row>
    <row r="674" spans="11:11" x14ac:dyDescent="0.45">
      <c r="K674">
        <v>26270.46130625984</v>
      </c>
    </row>
    <row r="675" spans="11:11" x14ac:dyDescent="0.45">
      <c r="K675">
        <v>34282.691808020332</v>
      </c>
    </row>
    <row r="676" spans="11:11" x14ac:dyDescent="0.45">
      <c r="K676">
        <v>27379.660071285878</v>
      </c>
    </row>
    <row r="677" spans="11:11" x14ac:dyDescent="0.45">
      <c r="K677">
        <v>23380.139492403727</v>
      </c>
    </row>
    <row r="678" spans="11:11" x14ac:dyDescent="0.45">
      <c r="K678">
        <v>4412.5147944719502</v>
      </c>
    </row>
    <row r="679" spans="11:11" x14ac:dyDescent="0.45">
      <c r="K679">
        <v>14082.800671915425</v>
      </c>
    </row>
    <row r="680" spans="11:11" x14ac:dyDescent="0.45">
      <c r="K680">
        <v>25243.559588659744</v>
      </c>
    </row>
    <row r="681" spans="11:11" x14ac:dyDescent="0.45">
      <c r="K681">
        <v>29064.252690898484</v>
      </c>
    </row>
    <row r="682" spans="11:11" x14ac:dyDescent="0.45">
      <c r="K682">
        <v>17859.0325220056</v>
      </c>
    </row>
    <row r="683" spans="11:11" x14ac:dyDescent="0.45">
      <c r="K683">
        <v>32572.89956696258</v>
      </c>
    </row>
    <row r="684" spans="11:11" x14ac:dyDescent="0.45">
      <c r="K684">
        <v>19649.694559728861</v>
      </c>
    </row>
    <row r="685" spans="11:11" x14ac:dyDescent="0.45">
      <c r="K685">
        <v>21382.753124435993</v>
      </c>
    </row>
    <row r="686" spans="11:11" x14ac:dyDescent="0.45">
      <c r="K686">
        <v>16133.433899081943</v>
      </c>
    </row>
    <row r="687" spans="11:11" x14ac:dyDescent="0.45">
      <c r="K687">
        <v>14291.838071097527</v>
      </c>
    </row>
    <row r="688" spans="11:11" x14ac:dyDescent="0.45">
      <c r="K688">
        <v>20866.52421961385</v>
      </c>
    </row>
    <row r="689" spans="11:11" x14ac:dyDescent="0.45">
      <c r="K689">
        <v>17239.050411417636</v>
      </c>
    </row>
    <row r="690" spans="11:11" x14ac:dyDescent="0.45">
      <c r="K690">
        <v>14349.751370134982</v>
      </c>
    </row>
    <row r="691" spans="11:11" x14ac:dyDescent="0.45">
      <c r="K691">
        <v>41520.835566745372</v>
      </c>
    </row>
    <row r="692" spans="11:11" x14ac:dyDescent="0.45">
      <c r="K692">
        <v>21584.889336241013</v>
      </c>
    </row>
    <row r="693" spans="11:11" x14ac:dyDescent="0.45">
      <c r="K693">
        <v>34129.54439837308</v>
      </c>
    </row>
    <row r="694" spans="11:11" x14ac:dyDescent="0.45">
      <c r="K694">
        <v>23469.869011556963</v>
      </c>
    </row>
    <row r="695" spans="11:11" x14ac:dyDescent="0.45">
      <c r="K695">
        <v>34133.974826485668</v>
      </c>
    </row>
    <row r="696" spans="11:11" x14ac:dyDescent="0.45">
      <c r="K696">
        <v>36782.95020291832</v>
      </c>
    </row>
    <row r="697" spans="11:11" x14ac:dyDescent="0.45">
      <c r="K697">
        <v>25474.858746607391</v>
      </c>
    </row>
    <row r="698" spans="11:11" x14ac:dyDescent="0.45">
      <c r="K698">
        <v>29087.092888194591</v>
      </c>
    </row>
    <row r="699" spans="11:11" x14ac:dyDescent="0.45">
      <c r="K699">
        <v>36184.446454725869</v>
      </c>
    </row>
    <row r="700" spans="11:11" x14ac:dyDescent="0.45">
      <c r="K700">
        <v>35221.488254637043</v>
      </c>
    </row>
    <row r="701" spans="11:11" x14ac:dyDescent="0.45">
      <c r="K701">
        <v>38351.731114815317</v>
      </c>
    </row>
    <row r="702" spans="11:11" x14ac:dyDescent="0.45">
      <c r="K702">
        <v>22436.704005213247</v>
      </c>
    </row>
    <row r="703" spans="11:11" x14ac:dyDescent="0.45">
      <c r="K703">
        <v>24731.591861705008</v>
      </c>
    </row>
    <row r="704" spans="11:11" x14ac:dyDescent="0.45">
      <c r="K704">
        <v>32934.427662622831</v>
      </c>
    </row>
    <row r="705" spans="11:11" x14ac:dyDescent="0.45">
      <c r="K705">
        <v>18371.544324139795</v>
      </c>
    </row>
    <row r="706" spans="11:11" x14ac:dyDescent="0.45">
      <c r="K706">
        <v>25775.947860100659</v>
      </c>
    </row>
    <row r="707" spans="11:11" x14ac:dyDescent="0.45">
      <c r="K707">
        <v>26133.312138159225</v>
      </c>
    </row>
    <row r="708" spans="11:11" x14ac:dyDescent="0.45">
      <c r="K708">
        <v>21738.057414045732</v>
      </c>
    </row>
    <row r="709" spans="11:11" x14ac:dyDescent="0.45">
      <c r="K709">
        <v>35115.904957484585</v>
      </c>
    </row>
    <row r="710" spans="11:11" x14ac:dyDescent="0.45">
      <c r="K710">
        <v>37137.486520954953</v>
      </c>
    </row>
    <row r="711" spans="11:11" x14ac:dyDescent="0.45">
      <c r="K711">
        <v>37943.962060549427</v>
      </c>
    </row>
    <row r="712" spans="11:11" x14ac:dyDescent="0.45">
      <c r="K712">
        <v>22059.840232706225</v>
      </c>
    </row>
    <row r="713" spans="11:11" x14ac:dyDescent="0.45">
      <c r="K713">
        <v>29531.014521582081</v>
      </c>
    </row>
    <row r="714" spans="11:11" x14ac:dyDescent="0.45">
      <c r="K714">
        <v>23951.23778292846</v>
      </c>
    </row>
    <row r="715" spans="11:11" x14ac:dyDescent="0.45">
      <c r="K715">
        <v>16744.460921929996</v>
      </c>
    </row>
    <row r="716" spans="11:11" x14ac:dyDescent="0.45">
      <c r="K716">
        <v>29964.525257359055</v>
      </c>
    </row>
    <row r="717" spans="11:11" x14ac:dyDescent="0.45">
      <c r="K717">
        <v>34161.058371450046</v>
      </c>
    </row>
    <row r="718" spans="11:11" x14ac:dyDescent="0.45">
      <c r="K718">
        <v>26457.191357349766</v>
      </c>
    </row>
    <row r="719" spans="11:11" x14ac:dyDescent="0.45">
      <c r="K719">
        <v>35000.307206051933</v>
      </c>
    </row>
    <row r="720" spans="11:11" x14ac:dyDescent="0.45">
      <c r="K720">
        <v>23536.640952451547</v>
      </c>
    </row>
    <row r="721" spans="11:11" x14ac:dyDescent="0.45">
      <c r="K721">
        <v>19653.183073360538</v>
      </c>
    </row>
    <row r="722" spans="11:11" x14ac:dyDescent="0.45">
      <c r="K722">
        <v>22521.238846072258</v>
      </c>
    </row>
    <row r="723" spans="11:11" x14ac:dyDescent="0.45">
      <c r="K723">
        <v>27772.260685520978</v>
      </c>
    </row>
    <row r="724" spans="11:11" x14ac:dyDescent="0.45">
      <c r="K724">
        <v>15743.278228366509</v>
      </c>
    </row>
    <row r="725" spans="11:11" x14ac:dyDescent="0.45">
      <c r="K725">
        <v>20029.541894895985</v>
      </c>
    </row>
    <row r="726" spans="11:11" x14ac:dyDescent="0.45">
      <c r="K726">
        <v>20518.598598009721</v>
      </c>
    </row>
    <row r="727" spans="11:11" x14ac:dyDescent="0.45">
      <c r="K727">
        <v>13206.774687284669</v>
      </c>
    </row>
    <row r="728" spans="11:11" x14ac:dyDescent="0.45">
      <c r="K728">
        <v>11190.67052038166</v>
      </c>
    </row>
    <row r="729" spans="11:11" x14ac:dyDescent="0.45">
      <c r="K729">
        <v>24479.138884278182</v>
      </c>
    </row>
    <row r="730" spans="11:11" x14ac:dyDescent="0.45">
      <c r="K730">
        <v>26877.635888098746</v>
      </c>
    </row>
    <row r="731" spans="11:11" x14ac:dyDescent="0.45">
      <c r="K731">
        <v>27785.890030727282</v>
      </c>
    </row>
    <row r="732" spans="11:11" x14ac:dyDescent="0.45">
      <c r="K732">
        <v>24612.889079368444</v>
      </c>
    </row>
    <row r="733" spans="11:11" x14ac:dyDescent="0.45">
      <c r="K733">
        <v>40179.377997118048</v>
      </c>
    </row>
    <row r="734" spans="11:11" x14ac:dyDescent="0.45">
      <c r="K734">
        <v>26819.402517680584</v>
      </c>
    </row>
    <row r="735" spans="11:11" x14ac:dyDescent="0.45">
      <c r="K735">
        <v>27387.089365606251</v>
      </c>
    </row>
    <row r="736" spans="11:11" x14ac:dyDescent="0.45">
      <c r="K736">
        <v>38414.426046946937</v>
      </c>
    </row>
    <row r="737" spans="11:11" x14ac:dyDescent="0.45">
      <c r="K737">
        <v>43074.645840993799</v>
      </c>
    </row>
    <row r="738" spans="11:11" x14ac:dyDescent="0.45">
      <c r="K738">
        <v>19161.785811391273</v>
      </c>
    </row>
    <row r="739" spans="11:11" x14ac:dyDescent="0.45">
      <c r="K739">
        <v>40320.229966202787</v>
      </c>
    </row>
    <row r="740" spans="11:11" x14ac:dyDescent="0.45">
      <c r="K740">
        <v>19336.797944006656</v>
      </c>
    </row>
    <row r="741" spans="11:11" x14ac:dyDescent="0.45">
      <c r="K741">
        <v>34678.26186517383</v>
      </c>
    </row>
    <row r="742" spans="11:11" x14ac:dyDescent="0.45">
      <c r="K742">
        <v>31134.479092191985</v>
      </c>
    </row>
    <row r="743" spans="11:11" x14ac:dyDescent="0.45">
      <c r="K743">
        <v>30337.890713096487</v>
      </c>
    </row>
    <row r="744" spans="11:11" x14ac:dyDescent="0.45">
      <c r="K744">
        <v>16565.657658557153</v>
      </c>
    </row>
    <row r="745" spans="11:11" x14ac:dyDescent="0.45">
      <c r="K745">
        <v>24965.856994392638</v>
      </c>
    </row>
    <row r="746" spans="11:11" x14ac:dyDescent="0.45">
      <c r="K746">
        <v>24567.281724209381</v>
      </c>
    </row>
    <row r="747" spans="11:11" x14ac:dyDescent="0.45">
      <c r="K747">
        <v>14417.302056794821</v>
      </c>
    </row>
    <row r="748" spans="11:11" x14ac:dyDescent="0.45">
      <c r="K748">
        <v>38397.741030257901</v>
      </c>
    </row>
    <row r="749" spans="11:11" x14ac:dyDescent="0.45">
      <c r="K749">
        <v>31979.091877229224</v>
      </c>
    </row>
    <row r="750" spans="11:11" x14ac:dyDescent="0.45">
      <c r="K750">
        <v>30451.375275376362</v>
      </c>
    </row>
    <row r="751" spans="11:11" x14ac:dyDescent="0.45">
      <c r="K751">
        <v>27703.557092988685</v>
      </c>
    </row>
    <row r="752" spans="11:11" x14ac:dyDescent="0.45">
      <c r="K752">
        <v>17151.545888200282</v>
      </c>
    </row>
    <row r="753" spans="11:11" x14ac:dyDescent="0.45">
      <c r="K753">
        <v>18687.45906534986</v>
      </c>
    </row>
    <row r="754" spans="11:11" x14ac:dyDescent="0.45">
      <c r="K754">
        <v>34500.575182046217</v>
      </c>
    </row>
    <row r="755" spans="11:11" x14ac:dyDescent="0.45">
      <c r="K755">
        <v>16017.784851256882</v>
      </c>
    </row>
    <row r="756" spans="11:11" x14ac:dyDescent="0.45">
      <c r="K756">
        <v>27415.520331824231</v>
      </c>
    </row>
    <row r="757" spans="11:11" x14ac:dyDescent="0.45">
      <c r="K757">
        <v>22851.932354051984</v>
      </c>
    </row>
    <row r="758" spans="11:11" x14ac:dyDescent="0.45">
      <c r="K758">
        <v>27282.159886030655</v>
      </c>
    </row>
    <row r="759" spans="11:11" x14ac:dyDescent="0.45">
      <c r="K759">
        <v>30201.60641246587</v>
      </c>
    </row>
    <row r="760" spans="11:11" x14ac:dyDescent="0.45">
      <c r="K760">
        <v>37418.999021636075</v>
      </c>
    </row>
    <row r="761" spans="11:11" x14ac:dyDescent="0.45">
      <c r="K761">
        <v>22266.16740391951</v>
      </c>
    </row>
    <row r="762" spans="11:11" x14ac:dyDescent="0.45">
      <c r="K762">
        <v>14944.881321531182</v>
      </c>
    </row>
    <row r="763" spans="11:11" x14ac:dyDescent="0.45">
      <c r="K763">
        <v>29944.713165382662</v>
      </c>
    </row>
    <row r="764" spans="11:11" x14ac:dyDescent="0.45">
      <c r="K764">
        <v>33523.786137023686</v>
      </c>
    </row>
    <row r="765" spans="11:11" x14ac:dyDescent="0.45">
      <c r="K765">
        <v>35573.440409387367</v>
      </c>
    </row>
    <row r="766" spans="11:11" x14ac:dyDescent="0.45">
      <c r="K766">
        <v>17821.652269791608</v>
      </c>
    </row>
    <row r="767" spans="11:11" x14ac:dyDescent="0.45">
      <c r="K767">
        <v>14207.096893548363</v>
      </c>
    </row>
    <row r="768" spans="11:11" x14ac:dyDescent="0.45">
      <c r="K768">
        <v>16429.195474498905</v>
      </c>
    </row>
    <row r="769" spans="11:11" x14ac:dyDescent="0.45">
      <c r="K769">
        <v>18012.845140165766</v>
      </c>
    </row>
    <row r="770" spans="11:11" x14ac:dyDescent="0.45">
      <c r="K770">
        <v>20451.036392847687</v>
      </c>
    </row>
    <row r="771" spans="11:11" x14ac:dyDescent="0.45">
      <c r="K771">
        <v>21476.053296946728</v>
      </c>
    </row>
    <row r="772" spans="11:11" x14ac:dyDescent="0.45">
      <c r="K772">
        <v>37491.97310669662</v>
      </c>
    </row>
    <row r="773" spans="11:11" x14ac:dyDescent="0.45">
      <c r="K773">
        <v>30526.885625545678</v>
      </c>
    </row>
    <row r="774" spans="11:11" x14ac:dyDescent="0.45">
      <c r="K774">
        <v>37894.770461044282</v>
      </c>
    </row>
    <row r="775" spans="11:11" x14ac:dyDescent="0.45">
      <c r="K775">
        <v>23434.620556056056</v>
      </c>
    </row>
    <row r="776" spans="11:11" x14ac:dyDescent="0.45">
      <c r="K776">
        <v>31005.392949972269</v>
      </c>
    </row>
    <row r="777" spans="11:11" x14ac:dyDescent="0.45">
      <c r="K777">
        <v>29761.125299998439</v>
      </c>
    </row>
    <row r="778" spans="11:11" x14ac:dyDescent="0.45">
      <c r="K778">
        <v>20862.781831745357</v>
      </c>
    </row>
    <row r="779" spans="11:11" x14ac:dyDescent="0.45">
      <c r="K779">
        <v>24019.423166846071</v>
      </c>
    </row>
    <row r="780" spans="11:11" x14ac:dyDescent="0.45">
      <c r="K780">
        <v>17674.174516412862</v>
      </c>
    </row>
    <row r="781" spans="11:11" x14ac:dyDescent="0.45">
      <c r="K781">
        <v>17992.36003095546</v>
      </c>
    </row>
    <row r="782" spans="11:11" x14ac:dyDescent="0.45">
      <c r="K782">
        <v>27501.98232291083</v>
      </c>
    </row>
    <row r="783" spans="11:11" x14ac:dyDescent="0.45">
      <c r="K783">
        <v>22590.31727849352</v>
      </c>
    </row>
    <row r="784" spans="11:11" x14ac:dyDescent="0.45">
      <c r="K784">
        <v>35769.677336669702</v>
      </c>
    </row>
    <row r="785" spans="11:11" x14ac:dyDescent="0.45">
      <c r="K785">
        <v>38319.268608561557</v>
      </c>
    </row>
    <row r="786" spans="11:11" x14ac:dyDescent="0.45">
      <c r="K786">
        <v>21053.761622593254</v>
      </c>
    </row>
    <row r="787" spans="11:11" x14ac:dyDescent="0.45">
      <c r="K787">
        <v>35049.115451492245</v>
      </c>
    </row>
    <row r="788" spans="11:11" x14ac:dyDescent="0.45">
      <c r="K788">
        <v>39795.243358306201</v>
      </c>
    </row>
    <row r="789" spans="11:11" x14ac:dyDescent="0.45">
      <c r="K789">
        <v>37619.798125407004</v>
      </c>
    </row>
    <row r="790" spans="11:11" x14ac:dyDescent="0.45">
      <c r="K790">
        <v>16553.902552688229</v>
      </c>
    </row>
    <row r="791" spans="11:11" x14ac:dyDescent="0.45">
      <c r="K791">
        <v>26532.484750031716</v>
      </c>
    </row>
    <row r="792" spans="11:11" x14ac:dyDescent="0.45">
      <c r="K792">
        <v>29982.944036595793</v>
      </c>
    </row>
    <row r="793" spans="11:11" x14ac:dyDescent="0.45">
      <c r="K793">
        <v>34461.181791940631</v>
      </c>
    </row>
    <row r="794" spans="11:11" x14ac:dyDescent="0.45">
      <c r="K794">
        <v>37256.386298474754</v>
      </c>
    </row>
    <row r="795" spans="11:11" x14ac:dyDescent="0.45">
      <c r="K795">
        <v>34294.256677297293</v>
      </c>
    </row>
    <row r="796" spans="11:11" x14ac:dyDescent="0.45">
      <c r="K796">
        <v>40933.738371004263</v>
      </c>
    </row>
    <row r="797" spans="11:11" x14ac:dyDescent="0.45">
      <c r="K797">
        <v>26749.240102200471</v>
      </c>
    </row>
    <row r="798" spans="11:11" x14ac:dyDescent="0.45">
      <c r="K798">
        <v>43001.346922883764</v>
      </c>
    </row>
    <row r="799" spans="11:11" x14ac:dyDescent="0.45">
      <c r="K799">
        <v>29974.295399590745</v>
      </c>
    </row>
    <row r="800" spans="11:11" x14ac:dyDescent="0.45">
      <c r="K800">
        <v>17335.207616282474</v>
      </c>
    </row>
    <row r="801" spans="11:11" x14ac:dyDescent="0.45">
      <c r="K801">
        <v>16998.704570184695</v>
      </c>
    </row>
    <row r="802" spans="11:11" x14ac:dyDescent="0.45">
      <c r="K802">
        <v>10951.958210593402</v>
      </c>
    </row>
    <row r="803" spans="11:11" x14ac:dyDescent="0.45">
      <c r="K803">
        <v>34729.294125863722</v>
      </c>
    </row>
    <row r="804" spans="11:11" x14ac:dyDescent="0.45">
      <c r="K804">
        <v>27866.259902733374</v>
      </c>
    </row>
    <row r="805" spans="11:11" x14ac:dyDescent="0.45">
      <c r="K805">
        <v>26852.706597823668</v>
      </c>
    </row>
    <row r="806" spans="11:11" x14ac:dyDescent="0.45">
      <c r="K806">
        <v>24064.419450901994</v>
      </c>
    </row>
    <row r="807" spans="11:11" x14ac:dyDescent="0.45">
      <c r="K807">
        <v>25296.91779795476</v>
      </c>
    </row>
    <row r="808" spans="11:11" x14ac:dyDescent="0.45">
      <c r="K808">
        <v>44494.184713878145</v>
      </c>
    </row>
    <row r="809" spans="11:11" x14ac:dyDescent="0.45">
      <c r="K809">
        <v>19901.382974461805</v>
      </c>
    </row>
    <row r="810" spans="11:11" x14ac:dyDescent="0.45">
      <c r="K810">
        <v>26424.945239293393</v>
      </c>
    </row>
    <row r="811" spans="11:11" x14ac:dyDescent="0.45">
      <c r="K811">
        <v>25294.974629311022</v>
      </c>
    </row>
    <row r="812" spans="11:11" x14ac:dyDescent="0.45">
      <c r="K812">
        <v>25461.771131092501</v>
      </c>
    </row>
    <row r="813" spans="11:11" x14ac:dyDescent="0.45">
      <c r="K813">
        <v>7224.1536522140777</v>
      </c>
    </row>
    <row r="814" spans="11:11" x14ac:dyDescent="0.45">
      <c r="K814">
        <v>34402.970478289411</v>
      </c>
    </row>
    <row r="815" spans="11:11" x14ac:dyDescent="0.45">
      <c r="K815">
        <v>21336.229880161311</v>
      </c>
    </row>
    <row r="816" spans="11:11" x14ac:dyDescent="0.45">
      <c r="K816">
        <v>17849.336847821811</v>
      </c>
    </row>
    <row r="817" spans="11:11" x14ac:dyDescent="0.45">
      <c r="K817">
        <v>33371.020988206124</v>
      </c>
    </row>
    <row r="818" spans="11:11" x14ac:dyDescent="0.45">
      <c r="K818">
        <v>10698.62562976293</v>
      </c>
    </row>
    <row r="819" spans="11:11" x14ac:dyDescent="0.45">
      <c r="K819">
        <v>31512.44662716359</v>
      </c>
    </row>
    <row r="820" spans="11:11" x14ac:dyDescent="0.45">
      <c r="K820">
        <v>24253.20413208117</v>
      </c>
    </row>
    <row r="821" spans="11:11" x14ac:dyDescent="0.45">
      <c r="K821">
        <v>20621.921024349787</v>
      </c>
    </row>
    <row r="822" spans="11:11" x14ac:dyDescent="0.45">
      <c r="K822">
        <v>30213.832173395636</v>
      </c>
    </row>
    <row r="823" spans="11:11" x14ac:dyDescent="0.45">
      <c r="K823">
        <v>18298.00313108768</v>
      </c>
    </row>
    <row r="824" spans="11:11" x14ac:dyDescent="0.45">
      <c r="K824">
        <v>38968.964277639694</v>
      </c>
    </row>
    <row r="825" spans="11:11" x14ac:dyDescent="0.45">
      <c r="K825">
        <v>10516.155537789245</v>
      </c>
    </row>
    <row r="826" spans="11:11" x14ac:dyDescent="0.45">
      <c r="K826">
        <v>21090.121886976489</v>
      </c>
    </row>
    <row r="827" spans="11:11" x14ac:dyDescent="0.45">
      <c r="K827">
        <v>22052.682622164179</v>
      </c>
    </row>
    <row r="828" spans="11:11" x14ac:dyDescent="0.45">
      <c r="K828">
        <v>48786.831332799418</v>
      </c>
    </row>
    <row r="829" spans="11:11" x14ac:dyDescent="0.45">
      <c r="K829">
        <v>42794.510420619306</v>
      </c>
    </row>
    <row r="830" spans="11:11" x14ac:dyDescent="0.45">
      <c r="K830">
        <v>18197.863379600472</v>
      </c>
    </row>
    <row r="831" spans="11:11" x14ac:dyDescent="0.45">
      <c r="K831">
        <v>21008.652923981201</v>
      </c>
    </row>
    <row r="832" spans="11:11" x14ac:dyDescent="0.45">
      <c r="K832">
        <v>30903.307960364695</v>
      </c>
    </row>
    <row r="833" spans="11:11" x14ac:dyDescent="0.45">
      <c r="K833">
        <v>49363.98617578196</v>
      </c>
    </row>
    <row r="834" spans="11:11" x14ac:dyDescent="0.45">
      <c r="K834">
        <v>46589.572357006284</v>
      </c>
    </row>
    <row r="835" spans="11:11" x14ac:dyDescent="0.45">
      <c r="K835">
        <v>34345.041461705114</v>
      </c>
    </row>
    <row r="836" spans="11:11" x14ac:dyDescent="0.45">
      <c r="K836">
        <v>30327.361270549176</v>
      </c>
    </row>
    <row r="837" spans="11:11" x14ac:dyDescent="0.45">
      <c r="K837">
        <v>39631.621432040178</v>
      </c>
    </row>
    <row r="838" spans="11:11" x14ac:dyDescent="0.45">
      <c r="K838">
        <v>6868.8517684169055</v>
      </c>
    </row>
    <row r="839" spans="11:11" x14ac:dyDescent="0.45">
      <c r="K839">
        <v>11154.024065584654</v>
      </c>
    </row>
    <row r="840" spans="11:11" x14ac:dyDescent="0.45">
      <c r="K840">
        <v>23420.052584065415</v>
      </c>
    </row>
    <row r="841" spans="11:11" x14ac:dyDescent="0.45">
      <c r="K841">
        <v>19596.229931196136</v>
      </c>
    </row>
    <row r="842" spans="11:11" x14ac:dyDescent="0.45">
      <c r="K842">
        <v>21427.988482457527</v>
      </c>
    </row>
    <row r="843" spans="11:11" x14ac:dyDescent="0.45">
      <c r="K843">
        <v>26183.875807934557</v>
      </c>
    </row>
    <row r="844" spans="11:11" x14ac:dyDescent="0.45">
      <c r="K844">
        <v>25853.512993860259</v>
      </c>
    </row>
    <row r="845" spans="11:11" x14ac:dyDescent="0.45">
      <c r="K845">
        <v>3504.7063964204644</v>
      </c>
    </row>
    <row r="846" spans="11:11" x14ac:dyDescent="0.45">
      <c r="K846">
        <v>30491.489416404187</v>
      </c>
    </row>
    <row r="847" spans="11:11" x14ac:dyDescent="0.45">
      <c r="K847">
        <v>30287.359127144238</v>
      </c>
    </row>
    <row r="848" spans="11:11" x14ac:dyDescent="0.45">
      <c r="K848">
        <v>34071.714235251071</v>
      </c>
    </row>
    <row r="849" spans="11:11" x14ac:dyDescent="0.45">
      <c r="K849">
        <v>31362.243861007293</v>
      </c>
    </row>
    <row r="850" spans="11:11" x14ac:dyDescent="0.45">
      <c r="K850">
        <v>30064.315105212983</v>
      </c>
    </row>
    <row r="851" spans="11:11" x14ac:dyDescent="0.45">
      <c r="K851">
        <v>6393.8208313174255</v>
      </c>
    </row>
    <row r="852" spans="11:11" x14ac:dyDescent="0.45">
      <c r="K852">
        <v>17947.052260803986</v>
      </c>
    </row>
    <row r="853" spans="11:11" x14ac:dyDescent="0.45">
      <c r="K853">
        <v>25321.812387392576</v>
      </c>
    </row>
    <row r="854" spans="11:11" x14ac:dyDescent="0.45">
      <c r="K854">
        <v>20957.527575776883</v>
      </c>
    </row>
    <row r="855" spans="11:11" x14ac:dyDescent="0.45">
      <c r="K855">
        <v>31901.288593632431</v>
      </c>
    </row>
    <row r="856" spans="11:11" x14ac:dyDescent="0.45">
      <c r="K856">
        <v>19797.262149446233</v>
      </c>
    </row>
    <row r="857" spans="11:11" x14ac:dyDescent="0.45">
      <c r="K857">
        <v>18573.717005913892</v>
      </c>
    </row>
    <row r="858" spans="11:11" x14ac:dyDescent="0.45">
      <c r="K858">
        <v>20427.157530592391</v>
      </c>
    </row>
    <row r="859" spans="11:11" x14ac:dyDescent="0.45">
      <c r="K859">
        <v>28181.628044106506</v>
      </c>
    </row>
    <row r="860" spans="11:11" x14ac:dyDescent="0.45">
      <c r="K860">
        <v>23512.860933150107</v>
      </c>
    </row>
    <row r="861" spans="11:11" x14ac:dyDescent="0.45">
      <c r="K861">
        <v>24775.6449748755</v>
      </c>
    </row>
    <row r="862" spans="11:11" x14ac:dyDescent="0.45">
      <c r="K862">
        <v>19878.689539197167</v>
      </c>
    </row>
    <row r="863" spans="11:11" x14ac:dyDescent="0.45">
      <c r="K863">
        <v>22982.592666199074</v>
      </c>
    </row>
    <row r="864" spans="11:11" x14ac:dyDescent="0.45">
      <c r="K864">
        <v>28914.693231232097</v>
      </c>
    </row>
    <row r="865" spans="11:11" x14ac:dyDescent="0.45">
      <c r="K865">
        <v>32490.894211032351</v>
      </c>
    </row>
    <row r="866" spans="11:11" x14ac:dyDescent="0.45">
      <c r="K866">
        <v>28997.576147204276</v>
      </c>
    </row>
    <row r="867" spans="11:11" x14ac:dyDescent="0.45">
      <c r="K867">
        <v>30277.441912067534</v>
      </c>
    </row>
    <row r="868" spans="11:11" x14ac:dyDescent="0.45">
      <c r="K868">
        <v>21385.536961438967</v>
      </c>
    </row>
    <row r="869" spans="11:11" x14ac:dyDescent="0.45">
      <c r="K869">
        <v>27285.78378474366</v>
      </c>
    </row>
    <row r="870" spans="11:11" x14ac:dyDescent="0.45">
      <c r="K870">
        <v>26300.226324715437</v>
      </c>
    </row>
    <row r="871" spans="11:11" x14ac:dyDescent="0.45">
      <c r="K871">
        <v>34687.522317669005</v>
      </c>
    </row>
    <row r="872" spans="11:11" x14ac:dyDescent="0.45">
      <c r="K872">
        <v>15230.753791367824</v>
      </c>
    </row>
    <row r="873" spans="11:11" x14ac:dyDescent="0.45">
      <c r="K873">
        <v>34124.098776891056</v>
      </c>
    </row>
    <row r="874" spans="11:11" x14ac:dyDescent="0.45">
      <c r="K874">
        <v>20398.751248845765</v>
      </c>
    </row>
    <row r="875" spans="11:11" x14ac:dyDescent="0.45">
      <c r="K875">
        <v>33250.735678296995</v>
      </c>
    </row>
    <row r="876" spans="11:11" x14ac:dyDescent="0.45">
      <c r="K876">
        <v>20394.8467240998</v>
      </c>
    </row>
    <row r="877" spans="11:11" x14ac:dyDescent="0.45">
      <c r="K877">
        <v>33592.778435543856</v>
      </c>
    </row>
    <row r="878" spans="11:11" x14ac:dyDescent="0.45">
      <c r="K878">
        <v>4297.1374453605895</v>
      </c>
    </row>
    <row r="879" spans="11:11" x14ac:dyDescent="0.45">
      <c r="K879">
        <v>30217.755888641459</v>
      </c>
    </row>
    <row r="880" spans="11:11" x14ac:dyDescent="0.45">
      <c r="K880">
        <v>21338.768892102278</v>
      </c>
    </row>
    <row r="881" spans="11:11" x14ac:dyDescent="0.45">
      <c r="K881">
        <v>20415.614376433103</v>
      </c>
    </row>
    <row r="882" spans="11:11" x14ac:dyDescent="0.45">
      <c r="K882">
        <v>47516.584162676234</v>
      </c>
    </row>
    <row r="883" spans="11:11" x14ac:dyDescent="0.45">
      <c r="K883">
        <v>21769.017162789896</v>
      </c>
    </row>
    <row r="884" spans="11:11" x14ac:dyDescent="0.45">
      <c r="K884">
        <v>25317.93196118006</v>
      </c>
    </row>
    <row r="885" spans="11:11" x14ac:dyDescent="0.45">
      <c r="K885">
        <v>18675.269350466246</v>
      </c>
    </row>
    <row r="886" spans="11:11" x14ac:dyDescent="0.45">
      <c r="K886">
        <v>28880.66780153085</v>
      </c>
    </row>
    <row r="887" spans="11:11" x14ac:dyDescent="0.45">
      <c r="K887">
        <v>25457.7638490629</v>
      </c>
    </row>
    <row r="888" spans="11:11" x14ac:dyDescent="0.45">
      <c r="K888">
        <v>34050.099606400945</v>
      </c>
    </row>
    <row r="889" spans="11:11" x14ac:dyDescent="0.45">
      <c r="K889">
        <v>22178.840755874047</v>
      </c>
    </row>
    <row r="890" spans="11:11" x14ac:dyDescent="0.45">
      <c r="K890">
        <v>30782.928486647797</v>
      </c>
    </row>
    <row r="891" spans="11:11" x14ac:dyDescent="0.45">
      <c r="K891">
        <v>27875.289056416728</v>
      </c>
    </row>
    <row r="892" spans="11:11" x14ac:dyDescent="0.45">
      <c r="K892">
        <v>41686.188104162313</v>
      </c>
    </row>
    <row r="893" spans="11:11" x14ac:dyDescent="0.45">
      <c r="K893">
        <v>23542.747037557794</v>
      </c>
    </row>
    <row r="894" spans="11:11" x14ac:dyDescent="0.45">
      <c r="K894">
        <v>19923.005691473852</v>
      </c>
    </row>
    <row r="895" spans="11:11" x14ac:dyDescent="0.45">
      <c r="K895">
        <v>21941.611334722304</v>
      </c>
    </row>
    <row r="896" spans="11:11" x14ac:dyDescent="0.45">
      <c r="K896">
        <v>30498.917029076925</v>
      </c>
    </row>
    <row r="897" spans="11:11" x14ac:dyDescent="0.45">
      <c r="K897">
        <v>34680.652750535315</v>
      </c>
    </row>
    <row r="898" spans="11:11" x14ac:dyDescent="0.45">
      <c r="K898">
        <v>28568.541191366679</v>
      </c>
    </row>
    <row r="899" spans="11:11" x14ac:dyDescent="0.45">
      <c r="K899">
        <v>24955.854159888389</v>
      </c>
    </row>
    <row r="900" spans="11:11" x14ac:dyDescent="0.45">
      <c r="K900">
        <v>29543.251972991766</v>
      </c>
    </row>
    <row r="901" spans="11:11" x14ac:dyDescent="0.45">
      <c r="K901">
        <v>25792.591329790808</v>
      </c>
    </row>
    <row r="902" spans="11:11" x14ac:dyDescent="0.45">
      <c r="K902">
        <v>38601.291743601294</v>
      </c>
    </row>
    <row r="903" spans="11:11" x14ac:dyDescent="0.45">
      <c r="K903">
        <v>38171.150398430007</v>
      </c>
    </row>
    <row r="904" spans="11:11" x14ac:dyDescent="0.45">
      <c r="K904">
        <v>27422.707249379302</v>
      </c>
    </row>
    <row r="905" spans="11:11" x14ac:dyDescent="0.45">
      <c r="K905">
        <v>34874.440855496287</v>
      </c>
    </row>
    <row r="906" spans="11:11" x14ac:dyDescent="0.45">
      <c r="K906">
        <v>38608.684790402949</v>
      </c>
    </row>
    <row r="907" spans="11:11" x14ac:dyDescent="0.45">
      <c r="K907">
        <v>29059.566877778816</v>
      </c>
    </row>
    <row r="908" spans="11:11" x14ac:dyDescent="0.45">
      <c r="K908">
        <v>29797.53020245512</v>
      </c>
    </row>
    <row r="909" spans="11:11" x14ac:dyDescent="0.45">
      <c r="K909">
        <v>31386.970464788883</v>
      </c>
    </row>
    <row r="910" spans="11:11" x14ac:dyDescent="0.45">
      <c r="K910">
        <v>19937.453030227298</v>
      </c>
    </row>
    <row r="911" spans="11:11" x14ac:dyDescent="0.45">
      <c r="K911">
        <v>21605.251526953645</v>
      </c>
    </row>
    <row r="912" spans="11:11" x14ac:dyDescent="0.45">
      <c r="K912">
        <v>18446.132994210086</v>
      </c>
    </row>
    <row r="913" spans="11:11" x14ac:dyDescent="0.45">
      <c r="K913">
        <v>22134.665187945953</v>
      </c>
    </row>
    <row r="914" spans="11:11" x14ac:dyDescent="0.45">
      <c r="K914">
        <v>20095.964483695105</v>
      </c>
    </row>
    <row r="915" spans="11:11" x14ac:dyDescent="0.45">
      <c r="K915">
        <v>18560.874357775745</v>
      </c>
    </row>
    <row r="916" spans="11:11" x14ac:dyDescent="0.45">
      <c r="K916">
        <v>20657.425634387771</v>
      </c>
    </row>
    <row r="917" spans="11:11" x14ac:dyDescent="0.45">
      <c r="K917">
        <v>38357.782461123919</v>
      </c>
    </row>
    <row r="918" spans="11:11" x14ac:dyDescent="0.45">
      <c r="K918">
        <v>28764.55347516328</v>
      </c>
    </row>
    <row r="919" spans="11:11" x14ac:dyDescent="0.45">
      <c r="K919">
        <v>18216.241489045737</v>
      </c>
    </row>
    <row r="920" spans="11:11" x14ac:dyDescent="0.45">
      <c r="K920">
        <v>25760.630598805084</v>
      </c>
    </row>
    <row r="921" spans="11:11" x14ac:dyDescent="0.45">
      <c r="K921">
        <v>22989.818852478238</v>
      </c>
    </row>
    <row r="922" spans="11:11" x14ac:dyDescent="0.45">
      <c r="K922">
        <v>32753.614027057429</v>
      </c>
    </row>
    <row r="923" spans="11:11" x14ac:dyDescent="0.45">
      <c r="K923">
        <v>18971.954495984151</v>
      </c>
    </row>
    <row r="924" spans="11:11" x14ac:dyDescent="0.45">
      <c r="K924">
        <v>31699.167265778859</v>
      </c>
    </row>
    <row r="925" spans="11:11" x14ac:dyDescent="0.45">
      <c r="K925">
        <v>28386.16637275149</v>
      </c>
    </row>
    <row r="926" spans="11:11" x14ac:dyDescent="0.45">
      <c r="K926">
        <v>8266.3416363449614</v>
      </c>
    </row>
    <row r="927" spans="11:11" x14ac:dyDescent="0.45">
      <c r="K927">
        <v>22359.862578266624</v>
      </c>
    </row>
    <row r="928" spans="11:11" x14ac:dyDescent="0.45">
      <c r="K928">
        <v>10823.167505066089</v>
      </c>
    </row>
    <row r="929" spans="11:11" x14ac:dyDescent="0.45">
      <c r="K929">
        <v>25812.072394598523</v>
      </c>
    </row>
    <row r="930" spans="11:11" x14ac:dyDescent="0.45">
      <c r="K930">
        <v>28760.448716988616</v>
      </c>
    </row>
    <row r="931" spans="11:11" x14ac:dyDescent="0.45">
      <c r="K931">
        <v>27600.349185947456</v>
      </c>
    </row>
    <row r="932" spans="11:11" x14ac:dyDescent="0.45">
      <c r="K932">
        <v>14052.601238070021</v>
      </c>
    </row>
    <row r="933" spans="11:11" x14ac:dyDescent="0.45">
      <c r="K933">
        <v>34643.480817927986</v>
      </c>
    </row>
    <row r="934" spans="11:11" x14ac:dyDescent="0.45">
      <c r="K934">
        <v>30334.061329230834</v>
      </c>
    </row>
    <row r="935" spans="11:11" x14ac:dyDescent="0.45">
      <c r="K935">
        <v>10586.975753743987</v>
      </c>
    </row>
    <row r="936" spans="11:11" x14ac:dyDescent="0.45">
      <c r="K936">
        <v>8702.0183812426003</v>
      </c>
    </row>
    <row r="937" spans="11:11" x14ac:dyDescent="0.45">
      <c r="K937">
        <v>8219.7513524880342</v>
      </c>
    </row>
    <row r="938" spans="11:11" x14ac:dyDescent="0.45">
      <c r="K938">
        <v>32452.447262443355</v>
      </c>
    </row>
    <row r="939" spans="11:11" x14ac:dyDescent="0.45">
      <c r="K939">
        <v>20580.498923349103</v>
      </c>
    </row>
    <row r="940" spans="11:11" x14ac:dyDescent="0.45">
      <c r="K940">
        <v>40913.094492027027</v>
      </c>
    </row>
    <row r="941" spans="11:11" x14ac:dyDescent="0.45">
      <c r="K941">
        <v>29049.990784290447</v>
      </c>
    </row>
    <row r="942" spans="11:11" x14ac:dyDescent="0.45">
      <c r="K942">
        <v>36288.795340738769</v>
      </c>
    </row>
    <row r="943" spans="11:11" x14ac:dyDescent="0.45">
      <c r="K943">
        <v>11822.126677045811</v>
      </c>
    </row>
    <row r="944" spans="11:11" x14ac:dyDescent="0.45">
      <c r="K944">
        <v>30130.754770581709</v>
      </c>
    </row>
    <row r="945" spans="11:11" x14ac:dyDescent="0.45">
      <c r="K945">
        <v>30864.960548624033</v>
      </c>
    </row>
    <row r="946" spans="11:11" x14ac:dyDescent="0.45">
      <c r="K946">
        <v>30804.538026110615</v>
      </c>
    </row>
    <row r="947" spans="11:11" x14ac:dyDescent="0.45">
      <c r="K947">
        <v>30621.626731468747</v>
      </c>
    </row>
    <row r="948" spans="11:11" x14ac:dyDescent="0.45">
      <c r="K948">
        <v>30398.731058143443</v>
      </c>
    </row>
    <row r="949" spans="11:11" x14ac:dyDescent="0.45">
      <c r="K949">
        <v>33457.830467509819</v>
      </c>
    </row>
    <row r="950" spans="11:11" x14ac:dyDescent="0.45">
      <c r="K950">
        <v>22522.279562071108</v>
      </c>
    </row>
    <row r="951" spans="11:11" x14ac:dyDescent="0.45">
      <c r="K951">
        <v>16551.400656372476</v>
      </c>
    </row>
    <row r="952" spans="11:11" x14ac:dyDescent="0.45">
      <c r="K952">
        <v>12798.746504678062</v>
      </c>
    </row>
    <row r="953" spans="11:11" x14ac:dyDescent="0.45">
      <c r="K953">
        <v>24793.454918705651</v>
      </c>
    </row>
    <row r="954" spans="11:11" x14ac:dyDescent="0.45">
      <c r="K954">
        <v>9255.5197832148624</v>
      </c>
    </row>
    <row r="955" spans="11:11" x14ac:dyDescent="0.45">
      <c r="K955">
        <v>25347.197364253432</v>
      </c>
    </row>
    <row r="956" spans="11:11" x14ac:dyDescent="0.45">
      <c r="K956">
        <v>27368.562266483121</v>
      </c>
    </row>
    <row r="957" spans="11:11" x14ac:dyDescent="0.45">
      <c r="K957">
        <v>27182.125593756711</v>
      </c>
    </row>
    <row r="958" spans="11:11" x14ac:dyDescent="0.45">
      <c r="K958">
        <v>30191.85839413447</v>
      </c>
    </row>
    <row r="959" spans="11:11" x14ac:dyDescent="0.45">
      <c r="K959">
        <v>19187.756662450363</v>
      </c>
    </row>
    <row r="960" spans="11:11" x14ac:dyDescent="0.45">
      <c r="K960">
        <v>22366.236930599098</v>
      </c>
    </row>
    <row r="961" spans="11:11" x14ac:dyDescent="0.45">
      <c r="K961">
        <v>14736.321366662465</v>
      </c>
    </row>
    <row r="962" spans="11:11" x14ac:dyDescent="0.45">
      <c r="K962">
        <v>20227.718640722007</v>
      </c>
    </row>
    <row r="963" spans="11:11" x14ac:dyDescent="0.45">
      <c r="K963">
        <v>34166.441912858063</v>
      </c>
    </row>
    <row r="964" spans="11:11" x14ac:dyDescent="0.45">
      <c r="K964">
        <v>31978.269534371528</v>
      </c>
    </row>
    <row r="965" spans="11:11" x14ac:dyDescent="0.45">
      <c r="K965">
        <v>31711.439290861934</v>
      </c>
    </row>
    <row r="966" spans="11:11" x14ac:dyDescent="0.45">
      <c r="K966">
        <v>27596.932149027682</v>
      </c>
    </row>
    <row r="967" spans="11:11" x14ac:dyDescent="0.45">
      <c r="K967">
        <v>26117.514395953338</v>
      </c>
    </row>
    <row r="968" spans="11:11" x14ac:dyDescent="0.45">
      <c r="K968">
        <v>29045.010954977392</v>
      </c>
    </row>
    <row r="969" spans="11:11" x14ac:dyDescent="0.45">
      <c r="K969">
        <v>11129.372723050026</v>
      </c>
    </row>
    <row r="970" spans="11:11" x14ac:dyDescent="0.45">
      <c r="K970">
        <v>29073.900761257475</v>
      </c>
    </row>
    <row r="971" spans="11:11" x14ac:dyDescent="0.45">
      <c r="K971">
        <v>26168.563374915026</v>
      </c>
    </row>
    <row r="972" spans="11:11" x14ac:dyDescent="0.45">
      <c r="K972">
        <v>22471.874171859679</v>
      </c>
    </row>
    <row r="973" spans="11:11" x14ac:dyDescent="0.45">
      <c r="K973">
        <v>27494.383345778817</v>
      </c>
    </row>
    <row r="974" spans="11:11" x14ac:dyDescent="0.45">
      <c r="K974">
        <v>41359.755573634939</v>
      </c>
    </row>
    <row r="975" spans="11:11" x14ac:dyDescent="0.45">
      <c r="K975">
        <v>34222.46550677569</v>
      </c>
    </row>
    <row r="976" spans="11:11" x14ac:dyDescent="0.45">
      <c r="K976">
        <v>31465.044955498954</v>
      </c>
    </row>
    <row r="977" spans="11:11" x14ac:dyDescent="0.45">
      <c r="K977">
        <v>23069.456287710305</v>
      </c>
    </row>
    <row r="978" spans="11:11" x14ac:dyDescent="0.45">
      <c r="K978">
        <v>44517.853344893854</v>
      </c>
    </row>
    <row r="979" spans="11:11" x14ac:dyDescent="0.45">
      <c r="K979">
        <v>33208.42120804936</v>
      </c>
    </row>
    <row r="980" spans="11:11" x14ac:dyDescent="0.45">
      <c r="K980">
        <v>30739.62827692501</v>
      </c>
    </row>
    <row r="981" spans="11:11" x14ac:dyDescent="0.45">
      <c r="K981">
        <v>41643.026741285372</v>
      </c>
    </row>
    <row r="982" spans="11:11" x14ac:dyDescent="0.45">
      <c r="K982">
        <v>23986.913743231569</v>
      </c>
    </row>
    <row r="983" spans="11:11" x14ac:dyDescent="0.45">
      <c r="K983">
        <v>30254.827689731977</v>
      </c>
    </row>
    <row r="984" spans="11:11" x14ac:dyDescent="0.45">
      <c r="K984">
        <v>23694.743356725216</v>
      </c>
    </row>
    <row r="985" spans="11:11" x14ac:dyDescent="0.45">
      <c r="K985">
        <v>27957.750519761183</v>
      </c>
    </row>
    <row r="986" spans="11:11" x14ac:dyDescent="0.45">
      <c r="K986">
        <v>14208.203530039522</v>
      </c>
    </row>
    <row r="987" spans="11:11" x14ac:dyDescent="0.45">
      <c r="K987">
        <v>22398.033942408507</v>
      </c>
    </row>
    <row r="988" spans="11:11" x14ac:dyDescent="0.45">
      <c r="K988">
        <v>25177.09121555934</v>
      </c>
    </row>
    <row r="989" spans="11:11" x14ac:dyDescent="0.45">
      <c r="K989">
        <v>36519.287547492117</v>
      </c>
    </row>
    <row r="990" spans="11:11" x14ac:dyDescent="0.45">
      <c r="K990">
        <v>31367.835566788257</v>
      </c>
    </row>
    <row r="991" spans="11:11" x14ac:dyDescent="0.45">
      <c r="K991">
        <v>32399.589087586053</v>
      </c>
    </row>
    <row r="992" spans="11:11" x14ac:dyDescent="0.45">
      <c r="K992">
        <v>14312.929052495092</v>
      </c>
    </row>
    <row r="993" spans="11:11" x14ac:dyDescent="0.45">
      <c r="K993">
        <v>26047.905699729603</v>
      </c>
    </row>
    <row r="994" spans="11:11" x14ac:dyDescent="0.45">
      <c r="K994">
        <v>30721.07476242468</v>
      </c>
    </row>
    <row r="995" spans="11:11" x14ac:dyDescent="0.45">
      <c r="K995">
        <v>30911.810793432775</v>
      </c>
    </row>
    <row r="996" spans="11:11" x14ac:dyDescent="0.45">
      <c r="K996">
        <v>32019.511581123454</v>
      </c>
    </row>
    <row r="997" spans="11:11" x14ac:dyDescent="0.45">
      <c r="K997">
        <v>14294.243702551801</v>
      </c>
    </row>
    <row r="998" spans="11:11" x14ac:dyDescent="0.45">
      <c r="K998">
        <v>42178.324855380546</v>
      </c>
    </row>
    <row r="999" spans="11:11" x14ac:dyDescent="0.45">
      <c r="K999">
        <v>39309.835614299525</v>
      </c>
    </row>
    <row r="1000" spans="11:11" x14ac:dyDescent="0.45">
      <c r="K1000">
        <v>14281.400972799247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49B4-209A-4305-8F36-1C294BC6C601}">
  <sheetPr codeName="Sheet6"/>
  <dimension ref="A1:Q1000"/>
  <sheetViews>
    <sheetView workbookViewId="0"/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6490.3864557643492</v>
      </c>
      <c r="M1" s="1">
        <f>AVERAGE(K1:K10000)</f>
        <v>9628.5621720992895</v>
      </c>
    </row>
    <row r="2" spans="1:17" x14ac:dyDescent="0.45">
      <c r="C2" t="s">
        <v>0</v>
      </c>
      <c r="D2" t="s">
        <v>1</v>
      </c>
      <c r="K2">
        <v>9822.2876607739363</v>
      </c>
      <c r="M2" s="1">
        <f>_xlfn.STDEV.S(K1:K10000)</f>
        <v>2271.8792285645736</v>
      </c>
    </row>
    <row r="3" spans="1:17" x14ac:dyDescent="0.45">
      <c r="B3" t="s">
        <v>8</v>
      </c>
      <c r="C3" s="1">
        <v>9574</v>
      </c>
      <c r="D3" s="1">
        <v>2311</v>
      </c>
      <c r="H3">
        <v>5244.5948994079909</v>
      </c>
      <c r="K3">
        <v>9814.7788738914805</v>
      </c>
      <c r="O3" s="3"/>
      <c r="P3" s="4"/>
      <c r="Q3" s="5"/>
    </row>
    <row r="4" spans="1:17" x14ac:dyDescent="0.45">
      <c r="H4">
        <v>2555.8634274517303</v>
      </c>
      <c r="K4">
        <v>8654.5458194878356</v>
      </c>
      <c r="O4" s="6"/>
      <c r="P4" s="7"/>
      <c r="Q4" s="8"/>
    </row>
    <row r="5" spans="1:17" x14ac:dyDescent="0.45">
      <c r="B5" t="s">
        <v>2</v>
      </c>
      <c r="C5" s="1">
        <f ca="1">_xlfn.NORM.INV(RAND(),C3,D3)</f>
        <v>7864.5228402277007</v>
      </c>
      <c r="K5">
        <v>10950.416682393849</v>
      </c>
      <c r="O5" s="6"/>
      <c r="P5" s="7"/>
      <c r="Q5" s="8"/>
    </row>
    <row r="6" spans="1:17" x14ac:dyDescent="0.45">
      <c r="K6">
        <v>10894.311527791962</v>
      </c>
      <c r="O6" s="6"/>
      <c r="P6" s="7"/>
      <c r="Q6" s="8"/>
    </row>
    <row r="7" spans="1:17" x14ac:dyDescent="0.45">
      <c r="E7" s="1">
        <f ca="1">_xlfn.NORM.INV(RAND(),$C$3,$D$3)</f>
        <v>8182.0068314094606</v>
      </c>
      <c r="F7" s="1">
        <f t="shared" ref="F7:I7" ca="1" si="0">_xlfn.NORM.INV(RAND(),$C$3,$D$3)</f>
        <v>9516.7569701852826</v>
      </c>
      <c r="G7" s="1">
        <f t="shared" ca="1" si="0"/>
        <v>5907.9227608108758</v>
      </c>
      <c r="H7" s="1">
        <f t="shared" ca="1" si="0"/>
        <v>9366.0490229499319</v>
      </c>
      <c r="I7" s="1">
        <f t="shared" ca="1" si="0"/>
        <v>9691.1186305940755</v>
      </c>
      <c r="K7">
        <v>11076.413053383707</v>
      </c>
      <c r="O7" s="6"/>
      <c r="P7" s="7"/>
      <c r="Q7" s="8"/>
    </row>
    <row r="8" spans="1:17" x14ac:dyDescent="0.45">
      <c r="B8" t="s">
        <v>3</v>
      </c>
      <c r="C8">
        <v>1000</v>
      </c>
      <c r="K8">
        <v>11587.454936668146</v>
      </c>
      <c r="O8" s="6"/>
      <c r="P8" s="7"/>
      <c r="Q8" s="8"/>
    </row>
    <row r="9" spans="1:17" x14ac:dyDescent="0.45">
      <c r="B9" t="s">
        <v>4</v>
      </c>
      <c r="C9">
        <v>1000</v>
      </c>
      <c r="K9">
        <v>8860.5701358221668</v>
      </c>
      <c r="O9" s="6"/>
      <c r="P9" s="7"/>
      <c r="Q9" s="8"/>
    </row>
    <row r="10" spans="1:17" x14ac:dyDescent="0.45">
      <c r="B10" t="s">
        <v>6</v>
      </c>
      <c r="C10" s="1">
        <f>MAX(K:K)</f>
        <v>17424.877751385131</v>
      </c>
      <c r="K10">
        <v>10161.015744856735</v>
      </c>
      <c r="O10" s="6"/>
      <c r="P10" s="7"/>
      <c r="Q10" s="8"/>
    </row>
    <row r="11" spans="1:17" x14ac:dyDescent="0.45">
      <c r="B11" t="s">
        <v>5</v>
      </c>
      <c r="C11" s="1">
        <f>MIN(K:K)</f>
        <v>408.25348889459383</v>
      </c>
      <c r="E11" s="1">
        <f>ROUNDDOWN((C10-C11)/100,0)</f>
        <v>170</v>
      </c>
      <c r="K11">
        <v>13972.436606748968</v>
      </c>
      <c r="O11" s="6"/>
      <c r="P11" s="7"/>
      <c r="Q11" s="8"/>
    </row>
    <row r="12" spans="1:17" x14ac:dyDescent="0.45">
      <c r="K12">
        <v>8708.0429480817529</v>
      </c>
      <c r="O12" s="6"/>
      <c r="P12" s="7"/>
      <c r="Q12" s="8"/>
    </row>
    <row r="13" spans="1:17" x14ac:dyDescent="0.45">
      <c r="A13" s="1">
        <f>ROUNDDOWN(C11,0)</f>
        <v>408</v>
      </c>
      <c r="B13">
        <f>COUNTIFS($K$1:$K$1000,"&gt;="&amp; A13,$K$1:$K$1000,"&lt;="&amp; A14)</f>
        <v>1</v>
      </c>
      <c r="C13" s="2"/>
      <c r="K13">
        <v>9351.3783851810513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748.3324852498107</v>
      </c>
      <c r="B14">
        <f t="shared" ref="B14:B61" si="1">COUNTIFS($K$1:$K$1000,"&gt;="&amp; A14,$K$1:$K$1000,"&lt;="&amp; A15)</f>
        <v>0</v>
      </c>
      <c r="C14" s="2"/>
      <c r="K14">
        <v>11105.03852559907</v>
      </c>
      <c r="O14" s="6"/>
      <c r="P14" s="7"/>
      <c r="Q14" s="8"/>
    </row>
    <row r="15" spans="1:17" x14ac:dyDescent="0.45">
      <c r="A15" s="1">
        <f t="shared" ref="A15:A63" si="2">IF(A14+($C$10-$C$11)/50&lt;=$C$10,A14+($C$10-$C$11)/50,MAX(A14+($C$10-$C$11)/50,$C$10))</f>
        <v>1088.6649704996214</v>
      </c>
      <c r="B15">
        <f t="shared" si="1"/>
        <v>0</v>
      </c>
      <c r="C15" s="2"/>
      <c r="K15">
        <v>7123.4721711604789</v>
      </c>
      <c r="O15" s="6"/>
      <c r="P15" s="7"/>
      <c r="Q15" s="8"/>
    </row>
    <row r="16" spans="1:17" x14ac:dyDescent="0.45">
      <c r="A16" s="1">
        <f t="shared" si="2"/>
        <v>1428.997455749432</v>
      </c>
      <c r="B16">
        <f t="shared" si="1"/>
        <v>0</v>
      </c>
      <c r="C16" s="2"/>
      <c r="K16">
        <v>7234.3868661157994</v>
      </c>
      <c r="O16" s="6"/>
      <c r="P16" s="7"/>
      <c r="Q16" s="8"/>
    </row>
    <row r="17" spans="1:17" x14ac:dyDescent="0.45">
      <c r="A17" s="1">
        <f t="shared" si="2"/>
        <v>1769.3299409992428</v>
      </c>
      <c r="B17">
        <f t="shared" si="1"/>
        <v>1</v>
      </c>
      <c r="C17" s="2"/>
      <c r="K17">
        <v>10119.345441191577</v>
      </c>
      <c r="O17" s="6"/>
      <c r="P17" s="7"/>
      <c r="Q17" s="8"/>
    </row>
    <row r="18" spans="1:17" x14ac:dyDescent="0.45">
      <c r="A18" s="1">
        <f t="shared" si="2"/>
        <v>2109.6624262490536</v>
      </c>
      <c r="B18">
        <f t="shared" si="1"/>
        <v>0</v>
      </c>
      <c r="C18" s="2"/>
      <c r="K18">
        <v>10478.983256311069</v>
      </c>
      <c r="O18" s="6"/>
      <c r="P18" s="7"/>
      <c r="Q18" s="8"/>
    </row>
    <row r="19" spans="1:17" x14ac:dyDescent="0.45">
      <c r="A19" s="1">
        <f t="shared" si="2"/>
        <v>2449.9949114988644</v>
      </c>
      <c r="B19">
        <f t="shared" si="1"/>
        <v>0</v>
      </c>
      <c r="C19" s="2"/>
      <c r="K19">
        <v>10973.130430312058</v>
      </c>
      <c r="O19" s="6"/>
      <c r="P19" s="7"/>
      <c r="Q19" s="8"/>
    </row>
    <row r="20" spans="1:17" x14ac:dyDescent="0.45">
      <c r="A20" s="1">
        <f t="shared" si="2"/>
        <v>2790.3273967486753</v>
      </c>
      <c r="B20">
        <f t="shared" si="1"/>
        <v>0</v>
      </c>
      <c r="C20" s="2"/>
      <c r="K20">
        <v>8148.5665041091925</v>
      </c>
      <c r="O20" s="9"/>
      <c r="P20" s="10"/>
      <c r="Q20" s="11"/>
    </row>
    <row r="21" spans="1:17" x14ac:dyDescent="0.45">
      <c r="A21" s="1">
        <f t="shared" si="2"/>
        <v>3130.6598819984861</v>
      </c>
      <c r="B21">
        <f t="shared" si="1"/>
        <v>2</v>
      </c>
      <c r="C21" s="2"/>
      <c r="K21">
        <v>9314.533560365664</v>
      </c>
    </row>
    <row r="22" spans="1:17" x14ac:dyDescent="0.45">
      <c r="A22" s="1">
        <f t="shared" si="2"/>
        <v>3470.9923672482969</v>
      </c>
      <c r="B22">
        <f t="shared" si="1"/>
        <v>1</v>
      </c>
      <c r="C22" s="2"/>
      <c r="K22">
        <v>10635.167078872269</v>
      </c>
    </row>
    <row r="23" spans="1:17" x14ac:dyDescent="0.45">
      <c r="A23" s="1">
        <f t="shared" si="2"/>
        <v>3811.3248524981077</v>
      </c>
      <c r="B23">
        <f t="shared" si="1"/>
        <v>4</v>
      </c>
      <c r="C23" s="2"/>
      <c r="K23">
        <v>7150.8707791306815</v>
      </c>
    </row>
    <row r="24" spans="1:17" x14ac:dyDescent="0.45">
      <c r="A24" s="1">
        <f t="shared" si="2"/>
        <v>4151.6573377479181</v>
      </c>
      <c r="B24">
        <f t="shared" si="1"/>
        <v>2</v>
      </c>
      <c r="C24" s="2"/>
      <c r="K24">
        <v>9341.2434189805972</v>
      </c>
    </row>
    <row r="25" spans="1:17" x14ac:dyDescent="0.45">
      <c r="A25" s="1">
        <f t="shared" si="2"/>
        <v>4491.9898229977289</v>
      </c>
      <c r="B25">
        <f t="shared" si="1"/>
        <v>5</v>
      </c>
      <c r="C25" s="2"/>
      <c r="K25">
        <v>13026.746999396673</v>
      </c>
    </row>
    <row r="26" spans="1:17" x14ac:dyDescent="0.45">
      <c r="A26" s="1">
        <f t="shared" si="2"/>
        <v>4832.3223082475397</v>
      </c>
      <c r="B26">
        <f t="shared" si="1"/>
        <v>4</v>
      </c>
      <c r="C26" s="2"/>
      <c r="K26">
        <v>10293.765269791056</v>
      </c>
    </row>
    <row r="27" spans="1:17" x14ac:dyDescent="0.45">
      <c r="A27" s="1">
        <f t="shared" si="2"/>
        <v>5172.6547934973505</v>
      </c>
      <c r="B27">
        <f t="shared" si="1"/>
        <v>9</v>
      </c>
      <c r="C27" s="2"/>
      <c r="K27">
        <v>9241.9494708030725</v>
      </c>
    </row>
    <row r="28" spans="1:17" x14ac:dyDescent="0.45">
      <c r="A28" s="1">
        <f t="shared" si="2"/>
        <v>5512.9872787471613</v>
      </c>
      <c r="B28">
        <f t="shared" si="1"/>
        <v>16</v>
      </c>
      <c r="C28" s="2"/>
      <c r="K28">
        <v>6337.7470674691194</v>
      </c>
    </row>
    <row r="29" spans="1:17" x14ac:dyDescent="0.45">
      <c r="A29" s="1">
        <f t="shared" si="2"/>
        <v>5853.3197639969721</v>
      </c>
      <c r="B29">
        <f t="shared" si="1"/>
        <v>16</v>
      </c>
      <c r="C29" s="2"/>
      <c r="K29">
        <v>10047.675083682747</v>
      </c>
    </row>
    <row r="30" spans="1:17" x14ac:dyDescent="0.45">
      <c r="A30" s="1">
        <f t="shared" si="2"/>
        <v>6193.652249246783</v>
      </c>
      <c r="B30">
        <f t="shared" si="1"/>
        <v>21</v>
      </c>
      <c r="C30" s="2"/>
      <c r="K30">
        <v>9075.7508384436405</v>
      </c>
    </row>
    <row r="31" spans="1:17" x14ac:dyDescent="0.45">
      <c r="A31" s="1">
        <f t="shared" si="2"/>
        <v>6533.9847344965938</v>
      </c>
      <c r="B31">
        <f t="shared" si="1"/>
        <v>20</v>
      </c>
      <c r="C31" s="2"/>
      <c r="K31">
        <v>8940.1742067253326</v>
      </c>
    </row>
    <row r="32" spans="1:17" x14ac:dyDescent="0.45">
      <c r="A32" s="1">
        <f t="shared" si="2"/>
        <v>6874.3172197464046</v>
      </c>
      <c r="B32">
        <f t="shared" si="1"/>
        <v>36</v>
      </c>
      <c r="C32" s="2"/>
      <c r="K32">
        <v>10131.388514253022</v>
      </c>
    </row>
    <row r="33" spans="1:11" x14ac:dyDescent="0.45">
      <c r="A33" s="1">
        <f t="shared" si="2"/>
        <v>7214.6497049962154</v>
      </c>
      <c r="B33">
        <f t="shared" si="1"/>
        <v>44</v>
      </c>
      <c r="C33" s="2"/>
      <c r="K33">
        <v>6930.3260754417652</v>
      </c>
    </row>
    <row r="34" spans="1:11" x14ac:dyDescent="0.45">
      <c r="A34" s="1">
        <f t="shared" si="2"/>
        <v>7554.9821902460262</v>
      </c>
      <c r="B34">
        <f t="shared" si="1"/>
        <v>37</v>
      </c>
      <c r="C34" s="2"/>
      <c r="K34">
        <v>13157.488643922494</v>
      </c>
    </row>
    <row r="35" spans="1:11" x14ac:dyDescent="0.45">
      <c r="A35" s="1">
        <f t="shared" si="2"/>
        <v>7895.314675495837</v>
      </c>
      <c r="B35">
        <f t="shared" si="1"/>
        <v>53</v>
      </c>
      <c r="C35" s="2"/>
      <c r="K35">
        <v>11858.33517996316</v>
      </c>
    </row>
    <row r="36" spans="1:11" x14ac:dyDescent="0.45">
      <c r="A36" s="1">
        <f t="shared" si="2"/>
        <v>8235.6471607456479</v>
      </c>
      <c r="B36">
        <f t="shared" si="1"/>
        <v>46</v>
      </c>
      <c r="C36" s="2"/>
      <c r="K36">
        <v>14944.926467514942</v>
      </c>
    </row>
    <row r="37" spans="1:11" x14ac:dyDescent="0.45">
      <c r="A37" s="1">
        <f t="shared" si="2"/>
        <v>8575.9796459954578</v>
      </c>
      <c r="B37">
        <f t="shared" si="1"/>
        <v>72</v>
      </c>
      <c r="C37" s="2"/>
      <c r="K37">
        <v>12175.498754076092</v>
      </c>
    </row>
    <row r="38" spans="1:11" x14ac:dyDescent="0.45">
      <c r="A38" s="1">
        <f t="shared" si="2"/>
        <v>8916.3121312452677</v>
      </c>
      <c r="B38">
        <f t="shared" si="1"/>
        <v>58</v>
      </c>
      <c r="C38" s="2"/>
      <c r="K38">
        <v>10192.828695856855</v>
      </c>
    </row>
    <row r="39" spans="1:11" x14ac:dyDescent="0.45">
      <c r="A39" s="1">
        <f t="shared" si="2"/>
        <v>9256.6446164950776</v>
      </c>
      <c r="B39">
        <f t="shared" si="1"/>
        <v>52</v>
      </c>
      <c r="C39" s="2"/>
      <c r="K39">
        <v>7740.7178187373111</v>
      </c>
    </row>
    <row r="40" spans="1:11" x14ac:dyDescent="0.45">
      <c r="A40" s="1">
        <f t="shared" si="2"/>
        <v>9596.9771017448875</v>
      </c>
      <c r="B40">
        <f t="shared" si="1"/>
        <v>62</v>
      </c>
      <c r="C40" s="2"/>
      <c r="K40">
        <v>8252.0719495059566</v>
      </c>
    </row>
    <row r="41" spans="1:11" x14ac:dyDescent="0.45">
      <c r="A41" s="1">
        <f t="shared" si="2"/>
        <v>9937.3095869946974</v>
      </c>
      <c r="B41">
        <f t="shared" si="1"/>
        <v>61</v>
      </c>
      <c r="C41" s="2"/>
      <c r="K41">
        <v>6107.9291992180106</v>
      </c>
    </row>
    <row r="42" spans="1:11" x14ac:dyDescent="0.45">
      <c r="A42" s="1">
        <f t="shared" si="2"/>
        <v>10277.642072244507</v>
      </c>
      <c r="B42">
        <f t="shared" si="1"/>
        <v>49</v>
      </c>
      <c r="C42" s="2"/>
      <c r="K42">
        <v>9058.9496585537272</v>
      </c>
    </row>
    <row r="43" spans="1:11" x14ac:dyDescent="0.45">
      <c r="A43" s="1">
        <f t="shared" si="2"/>
        <v>10617.974557494317</v>
      </c>
      <c r="B43">
        <f t="shared" si="1"/>
        <v>48</v>
      </c>
      <c r="C43" s="2"/>
      <c r="K43">
        <v>9972.2231928606434</v>
      </c>
    </row>
    <row r="44" spans="1:11" x14ac:dyDescent="0.45">
      <c r="A44" s="1">
        <f t="shared" si="2"/>
        <v>10958.307042744127</v>
      </c>
      <c r="B44">
        <f t="shared" si="1"/>
        <v>57</v>
      </c>
      <c r="C44" s="2"/>
      <c r="K44">
        <v>12133.767400685643</v>
      </c>
    </row>
    <row r="45" spans="1:11" x14ac:dyDescent="0.45">
      <c r="A45" s="1">
        <f t="shared" si="2"/>
        <v>11298.639527993937</v>
      </c>
      <c r="B45">
        <f t="shared" si="1"/>
        <v>32</v>
      </c>
      <c r="C45" s="2"/>
      <c r="K45">
        <v>9140.0414222911077</v>
      </c>
    </row>
    <row r="46" spans="1:11" x14ac:dyDescent="0.45">
      <c r="A46" s="1">
        <f t="shared" si="2"/>
        <v>11638.972013243747</v>
      </c>
      <c r="B46">
        <f t="shared" si="1"/>
        <v>33</v>
      </c>
      <c r="C46" s="2"/>
      <c r="K46">
        <v>12823.798293818731</v>
      </c>
    </row>
    <row r="47" spans="1:11" x14ac:dyDescent="0.45">
      <c r="A47" s="1">
        <f t="shared" si="2"/>
        <v>11979.304498493557</v>
      </c>
      <c r="B47">
        <f t="shared" si="1"/>
        <v>39</v>
      </c>
      <c r="C47" s="2"/>
      <c r="K47">
        <v>8024.3310998075704</v>
      </c>
    </row>
    <row r="48" spans="1:11" x14ac:dyDescent="0.45">
      <c r="A48" s="1">
        <f t="shared" si="2"/>
        <v>12319.636983743367</v>
      </c>
      <c r="B48">
        <f t="shared" si="1"/>
        <v>26</v>
      </c>
      <c r="C48" s="2"/>
      <c r="K48">
        <v>7866.8308728107595</v>
      </c>
    </row>
    <row r="49" spans="1:11" x14ac:dyDescent="0.45">
      <c r="A49" s="1">
        <f t="shared" si="2"/>
        <v>12659.969468993177</v>
      </c>
      <c r="B49">
        <f t="shared" si="1"/>
        <v>19</v>
      </c>
      <c r="C49" s="2"/>
      <c r="K49">
        <v>7143.6388807334042</v>
      </c>
    </row>
    <row r="50" spans="1:11" x14ac:dyDescent="0.45">
      <c r="A50" s="1">
        <f t="shared" si="2"/>
        <v>13000.301954242987</v>
      </c>
      <c r="B50">
        <f t="shared" si="1"/>
        <v>24</v>
      </c>
      <c r="C50" s="2"/>
      <c r="K50">
        <v>8898.856780507007</v>
      </c>
    </row>
    <row r="51" spans="1:11" x14ac:dyDescent="0.45">
      <c r="A51" s="1">
        <f t="shared" si="2"/>
        <v>13340.634439492796</v>
      </c>
      <c r="B51">
        <f t="shared" si="1"/>
        <v>17</v>
      </c>
      <c r="C51" s="2"/>
      <c r="K51">
        <v>13210.243249906374</v>
      </c>
    </row>
    <row r="52" spans="1:11" x14ac:dyDescent="0.45">
      <c r="A52" s="1">
        <f t="shared" si="2"/>
        <v>13680.966924742606</v>
      </c>
      <c r="B52">
        <f t="shared" si="1"/>
        <v>9</v>
      </c>
      <c r="C52" s="2"/>
      <c r="K52">
        <v>4094.1411652411534</v>
      </c>
    </row>
    <row r="53" spans="1:11" x14ac:dyDescent="0.45">
      <c r="A53" s="1">
        <f t="shared" si="2"/>
        <v>14021.299409992416</v>
      </c>
      <c r="B53">
        <f t="shared" si="1"/>
        <v>7</v>
      </c>
      <c r="C53" s="2"/>
      <c r="K53">
        <v>8312.7015185934815</v>
      </c>
    </row>
    <row r="54" spans="1:11" x14ac:dyDescent="0.45">
      <c r="A54" s="1">
        <f t="shared" si="2"/>
        <v>14361.631895242226</v>
      </c>
      <c r="B54">
        <f t="shared" si="1"/>
        <v>3</v>
      </c>
      <c r="C54" s="2"/>
      <c r="K54">
        <v>10461.493574232398</v>
      </c>
    </row>
    <row r="55" spans="1:11" x14ac:dyDescent="0.45">
      <c r="A55" s="1">
        <f t="shared" si="2"/>
        <v>14701.964380492036</v>
      </c>
      <c r="B55">
        <f t="shared" si="1"/>
        <v>5</v>
      </c>
      <c r="C55" s="2"/>
      <c r="K55">
        <v>9870.4457014625295</v>
      </c>
    </row>
    <row r="56" spans="1:11" x14ac:dyDescent="0.45">
      <c r="A56" s="1">
        <f t="shared" si="2"/>
        <v>15042.296865741846</v>
      </c>
      <c r="B56">
        <f t="shared" si="1"/>
        <v>1</v>
      </c>
      <c r="C56" s="2"/>
      <c r="K56">
        <v>8788.0441207061376</v>
      </c>
    </row>
    <row r="57" spans="1:11" x14ac:dyDescent="0.45">
      <c r="A57" s="1">
        <f t="shared" si="2"/>
        <v>15382.629350991656</v>
      </c>
      <c r="B57">
        <f t="shared" si="1"/>
        <v>3</v>
      </c>
      <c r="C57" s="2"/>
      <c r="K57">
        <v>10152.690494285567</v>
      </c>
    </row>
    <row r="58" spans="1:11" x14ac:dyDescent="0.45">
      <c r="A58" s="1">
        <f t="shared" si="2"/>
        <v>15722.961836241466</v>
      </c>
      <c r="B58">
        <f t="shared" si="1"/>
        <v>1</v>
      </c>
      <c r="C58" s="2"/>
      <c r="K58">
        <v>13244.239883721108</v>
      </c>
    </row>
    <row r="59" spans="1:11" x14ac:dyDescent="0.45">
      <c r="A59" s="1">
        <f t="shared" si="2"/>
        <v>16063.294321491276</v>
      </c>
      <c r="B59">
        <f t="shared" si="1"/>
        <v>1</v>
      </c>
      <c r="C59" s="2"/>
      <c r="K59">
        <v>11356.274447990132</v>
      </c>
    </row>
    <row r="60" spans="1:11" x14ac:dyDescent="0.45">
      <c r="A60" s="1">
        <f t="shared" si="2"/>
        <v>16403.626806741086</v>
      </c>
      <c r="B60">
        <f t="shared" si="1"/>
        <v>1</v>
      </c>
      <c r="C60" s="2"/>
      <c r="K60">
        <v>8922.1399862443413</v>
      </c>
    </row>
    <row r="61" spans="1:11" x14ac:dyDescent="0.45">
      <c r="A61" s="1">
        <f t="shared" si="2"/>
        <v>16743.959291990897</v>
      </c>
      <c r="B61">
        <f t="shared" si="1"/>
        <v>0</v>
      </c>
      <c r="C61" s="2"/>
      <c r="K61">
        <v>9136.4083800436347</v>
      </c>
    </row>
    <row r="62" spans="1:11" x14ac:dyDescent="0.45">
      <c r="A62" s="1">
        <f t="shared" si="2"/>
        <v>17084.291777240709</v>
      </c>
      <c r="B62">
        <f>COUNTIFS($K$1:$K$1000,"&gt;="&amp; A62,$K$1:$K$1000,"&lt;"&amp; A63)</f>
        <v>1</v>
      </c>
      <c r="C62" s="2"/>
      <c r="K62">
        <v>10506.535754789949</v>
      </c>
    </row>
    <row r="63" spans="1:11" x14ac:dyDescent="0.45">
      <c r="A63" s="1">
        <f t="shared" si="2"/>
        <v>17424.624262490521</v>
      </c>
      <c r="B63">
        <f>COUNTIFS($K$1:$K$1000,"&gt;="&amp; A63)</f>
        <v>1</v>
      </c>
      <c r="C63" s="2"/>
      <c r="K63">
        <v>10069.745185391554</v>
      </c>
    </row>
    <row r="64" spans="1:11" x14ac:dyDescent="0.45">
      <c r="B64">
        <f>SUM(B13:B63)</f>
        <v>1000</v>
      </c>
      <c r="C64" s="2"/>
      <c r="K64">
        <v>12232.82185997805</v>
      </c>
    </row>
    <row r="65" spans="3:11" x14ac:dyDescent="0.45">
      <c r="C65" s="2"/>
      <c r="K65">
        <v>12935.673585866487</v>
      </c>
    </row>
    <row r="66" spans="3:11" x14ac:dyDescent="0.45">
      <c r="C66" s="2"/>
      <c r="K66">
        <v>10910.614741126457</v>
      </c>
    </row>
    <row r="67" spans="3:11" x14ac:dyDescent="0.45">
      <c r="C67" s="2"/>
      <c r="K67">
        <v>5579.9609473542932</v>
      </c>
    </row>
    <row r="68" spans="3:11" x14ac:dyDescent="0.45">
      <c r="C68" s="2"/>
      <c r="K68">
        <v>11737.227391982504</v>
      </c>
    </row>
    <row r="69" spans="3:11" x14ac:dyDescent="0.45">
      <c r="C69" s="2"/>
      <c r="K69">
        <v>8222.5869582606192</v>
      </c>
    </row>
    <row r="70" spans="3:11" x14ac:dyDescent="0.45">
      <c r="C70" s="2"/>
      <c r="K70">
        <v>10875.721878582131</v>
      </c>
    </row>
    <row r="71" spans="3:11" x14ac:dyDescent="0.45">
      <c r="C71" s="2"/>
      <c r="K71">
        <v>11847.426362076387</v>
      </c>
    </row>
    <row r="72" spans="3:11" x14ac:dyDescent="0.45">
      <c r="C72" s="2"/>
      <c r="K72">
        <v>10149.830545092431</v>
      </c>
    </row>
    <row r="73" spans="3:11" x14ac:dyDescent="0.45">
      <c r="C73" s="2"/>
      <c r="K73">
        <v>8932.3267794331514</v>
      </c>
    </row>
    <row r="74" spans="3:11" x14ac:dyDescent="0.45">
      <c r="C74" s="2"/>
      <c r="K74">
        <v>9424.3082315445117</v>
      </c>
    </row>
    <row r="75" spans="3:11" x14ac:dyDescent="0.45">
      <c r="C75" s="2"/>
      <c r="K75">
        <v>8961.6680577983243</v>
      </c>
    </row>
    <row r="76" spans="3:11" x14ac:dyDescent="0.45">
      <c r="C76" s="2"/>
      <c r="K76">
        <v>11504.256510393228</v>
      </c>
    </row>
    <row r="77" spans="3:11" x14ac:dyDescent="0.45">
      <c r="C77" s="2"/>
      <c r="K77">
        <v>8087.2514092291367</v>
      </c>
    </row>
    <row r="78" spans="3:11" x14ac:dyDescent="0.45">
      <c r="C78" s="2"/>
      <c r="K78">
        <v>12104.531627070566</v>
      </c>
    </row>
    <row r="79" spans="3:11" x14ac:dyDescent="0.45">
      <c r="C79" s="2"/>
      <c r="K79">
        <v>14314.287587008732</v>
      </c>
    </row>
    <row r="80" spans="3:11" x14ac:dyDescent="0.45">
      <c r="C80" s="2"/>
      <c r="K80">
        <v>8751.478168374415</v>
      </c>
    </row>
    <row r="81" spans="3:11" x14ac:dyDescent="0.45">
      <c r="C81" s="2"/>
      <c r="K81">
        <v>13630.670644141599</v>
      </c>
    </row>
    <row r="82" spans="3:11" x14ac:dyDescent="0.45">
      <c r="C82" s="2"/>
      <c r="K82">
        <v>10408.945773202149</v>
      </c>
    </row>
    <row r="83" spans="3:11" x14ac:dyDescent="0.45">
      <c r="C83" s="2"/>
      <c r="K83">
        <v>10780.816453207921</v>
      </c>
    </row>
    <row r="84" spans="3:11" x14ac:dyDescent="0.45">
      <c r="K84">
        <v>12563.181535169912</v>
      </c>
    </row>
    <row r="85" spans="3:11" x14ac:dyDescent="0.45">
      <c r="K85">
        <v>9784.2834048338391</v>
      </c>
    </row>
    <row r="86" spans="3:11" x14ac:dyDescent="0.45">
      <c r="K86">
        <v>10337.656509637762</v>
      </c>
    </row>
    <row r="87" spans="3:11" x14ac:dyDescent="0.45">
      <c r="K87">
        <v>5219.7446842383933</v>
      </c>
    </row>
    <row r="88" spans="3:11" x14ac:dyDescent="0.45">
      <c r="K88">
        <v>9918.2682345258781</v>
      </c>
    </row>
    <row r="89" spans="3:11" x14ac:dyDescent="0.45">
      <c r="K89">
        <v>8769.0886186167027</v>
      </c>
    </row>
    <row r="90" spans="3:11" x14ac:dyDescent="0.45">
      <c r="K90">
        <v>12376.504718948298</v>
      </c>
    </row>
    <row r="91" spans="3:11" x14ac:dyDescent="0.45">
      <c r="K91">
        <v>9649.3744719282495</v>
      </c>
    </row>
    <row r="92" spans="3:11" x14ac:dyDescent="0.45">
      <c r="K92">
        <v>8557.8578902180652</v>
      </c>
    </row>
    <row r="93" spans="3:11" x14ac:dyDescent="0.45">
      <c r="K93">
        <v>11535.805252919177</v>
      </c>
    </row>
    <row r="94" spans="3:11" x14ac:dyDescent="0.45">
      <c r="K94">
        <v>10209.518731043047</v>
      </c>
    </row>
    <row r="95" spans="3:11" x14ac:dyDescent="0.45">
      <c r="K95">
        <v>9794.0790101143211</v>
      </c>
    </row>
    <row r="96" spans="3:11" x14ac:dyDescent="0.45">
      <c r="K96">
        <v>9719.2813084308073</v>
      </c>
    </row>
    <row r="97" spans="11:11" x14ac:dyDescent="0.45">
      <c r="K97">
        <v>7922.3761735922862</v>
      </c>
    </row>
    <row r="98" spans="11:11" x14ac:dyDescent="0.45">
      <c r="K98">
        <v>10146.606612837326</v>
      </c>
    </row>
    <row r="99" spans="11:11" x14ac:dyDescent="0.45">
      <c r="K99">
        <v>12001.837811335157</v>
      </c>
    </row>
    <row r="100" spans="11:11" x14ac:dyDescent="0.45">
      <c r="K100">
        <v>5891.3913319470066</v>
      </c>
    </row>
    <row r="101" spans="11:11" x14ac:dyDescent="0.45">
      <c r="K101">
        <v>8072.1528340985478</v>
      </c>
    </row>
    <row r="102" spans="11:11" x14ac:dyDescent="0.45">
      <c r="K102">
        <v>10093.909230718393</v>
      </c>
    </row>
    <row r="103" spans="11:11" x14ac:dyDescent="0.45">
      <c r="K103">
        <v>13002.873456777666</v>
      </c>
    </row>
    <row r="104" spans="11:11" x14ac:dyDescent="0.45">
      <c r="K104">
        <v>10751.165998476976</v>
      </c>
    </row>
    <row r="105" spans="11:11" x14ac:dyDescent="0.45">
      <c r="K105">
        <v>10935.006264668471</v>
      </c>
    </row>
    <row r="106" spans="11:11" x14ac:dyDescent="0.45">
      <c r="K106">
        <v>9919.8541104596025</v>
      </c>
    </row>
    <row r="107" spans="11:11" x14ac:dyDescent="0.45">
      <c r="K107">
        <v>12074.010441603419</v>
      </c>
    </row>
    <row r="108" spans="11:11" x14ac:dyDescent="0.45">
      <c r="K108">
        <v>8938.0819110503362</v>
      </c>
    </row>
    <row r="109" spans="11:11" x14ac:dyDescent="0.45">
      <c r="K109">
        <v>7542.3313385193333</v>
      </c>
    </row>
    <row r="110" spans="11:11" x14ac:dyDescent="0.45">
      <c r="K110">
        <v>13461.447767767024</v>
      </c>
    </row>
    <row r="111" spans="11:11" x14ac:dyDescent="0.45">
      <c r="K111">
        <v>10090.37095630086</v>
      </c>
    </row>
    <row r="112" spans="11:11" x14ac:dyDescent="0.45">
      <c r="K112">
        <v>7580.7467472774733</v>
      </c>
    </row>
    <row r="113" spans="2:11" x14ac:dyDescent="0.45">
      <c r="K113">
        <v>6947.4291922432731</v>
      </c>
    </row>
    <row r="114" spans="2:11" x14ac:dyDescent="0.45">
      <c r="K114">
        <v>8734.7448320774947</v>
      </c>
    </row>
    <row r="115" spans="2:11" x14ac:dyDescent="0.45">
      <c r="B115">
        <f>SUM(B13:B114)</f>
        <v>2000</v>
      </c>
      <c r="K115">
        <v>11451.723404520539</v>
      </c>
    </row>
    <row r="116" spans="2:11" x14ac:dyDescent="0.45">
      <c r="K116">
        <v>10045.051821721951</v>
      </c>
    </row>
    <row r="117" spans="2:11" x14ac:dyDescent="0.45">
      <c r="K117">
        <v>9863.3137585353052</v>
      </c>
    </row>
    <row r="118" spans="2:11" x14ac:dyDescent="0.45">
      <c r="K118">
        <v>9622.0581375682668</v>
      </c>
    </row>
    <row r="119" spans="2:11" x14ac:dyDescent="0.45">
      <c r="K119">
        <v>11520.932939889448</v>
      </c>
    </row>
    <row r="120" spans="2:11" x14ac:dyDescent="0.45">
      <c r="K120">
        <v>12186.889480703663</v>
      </c>
    </row>
    <row r="121" spans="2:11" x14ac:dyDescent="0.45">
      <c r="K121">
        <v>9361.8151727426321</v>
      </c>
    </row>
    <row r="122" spans="2:11" x14ac:dyDescent="0.45">
      <c r="K122">
        <v>8713.0938115520803</v>
      </c>
    </row>
    <row r="123" spans="2:11" x14ac:dyDescent="0.45">
      <c r="K123">
        <v>9230.2258470051256</v>
      </c>
    </row>
    <row r="124" spans="2:11" x14ac:dyDescent="0.45">
      <c r="K124">
        <v>11983.791506844214</v>
      </c>
    </row>
    <row r="125" spans="2:11" x14ac:dyDescent="0.45">
      <c r="K125">
        <v>6423.5731875955971</v>
      </c>
    </row>
    <row r="126" spans="2:11" x14ac:dyDescent="0.45">
      <c r="K126">
        <v>8628.6125349906961</v>
      </c>
    </row>
    <row r="127" spans="2:11" x14ac:dyDescent="0.45">
      <c r="K127">
        <v>11726.059964895136</v>
      </c>
    </row>
    <row r="128" spans="2:11" x14ac:dyDescent="0.45">
      <c r="K128">
        <v>5110.287940031265</v>
      </c>
    </row>
    <row r="129" spans="11:11" x14ac:dyDescent="0.45">
      <c r="K129">
        <v>11481.882028362925</v>
      </c>
    </row>
    <row r="130" spans="11:11" x14ac:dyDescent="0.45">
      <c r="K130">
        <v>8864.1875909796672</v>
      </c>
    </row>
    <row r="131" spans="11:11" x14ac:dyDescent="0.45">
      <c r="K131">
        <v>10432.365774202453</v>
      </c>
    </row>
    <row r="132" spans="11:11" x14ac:dyDescent="0.45">
      <c r="K132">
        <v>8308.7159764227872</v>
      </c>
    </row>
    <row r="133" spans="11:11" x14ac:dyDescent="0.45">
      <c r="K133">
        <v>9839.9412600892556</v>
      </c>
    </row>
    <row r="134" spans="11:11" x14ac:dyDescent="0.45">
      <c r="K134">
        <v>10153.341881236027</v>
      </c>
    </row>
    <row r="135" spans="11:11" x14ac:dyDescent="0.45">
      <c r="K135">
        <v>14753.4339080645</v>
      </c>
    </row>
    <row r="136" spans="11:11" x14ac:dyDescent="0.45">
      <c r="K136">
        <v>7047.435017685094</v>
      </c>
    </row>
    <row r="137" spans="11:11" x14ac:dyDescent="0.45">
      <c r="K137">
        <v>13095.827335213497</v>
      </c>
    </row>
    <row r="138" spans="11:11" x14ac:dyDescent="0.45">
      <c r="K138">
        <v>10819.331822524626</v>
      </c>
    </row>
    <row r="139" spans="11:11" x14ac:dyDescent="0.45">
      <c r="K139">
        <v>9832.0096324808273</v>
      </c>
    </row>
    <row r="140" spans="11:11" x14ac:dyDescent="0.45">
      <c r="K140">
        <v>13192.251362207851</v>
      </c>
    </row>
    <row r="141" spans="11:11" x14ac:dyDescent="0.45">
      <c r="K141">
        <v>12357.170198185704</v>
      </c>
    </row>
    <row r="142" spans="11:11" x14ac:dyDescent="0.45">
      <c r="K142">
        <v>10975.899768796075</v>
      </c>
    </row>
    <row r="143" spans="11:11" x14ac:dyDescent="0.45">
      <c r="K143">
        <v>12285.343178156993</v>
      </c>
    </row>
    <row r="144" spans="11:11" x14ac:dyDescent="0.45">
      <c r="K144">
        <v>7438.5750561460518</v>
      </c>
    </row>
    <row r="145" spans="11:11" x14ac:dyDescent="0.45">
      <c r="K145">
        <v>9194.2685679333699</v>
      </c>
    </row>
    <row r="146" spans="11:11" x14ac:dyDescent="0.45">
      <c r="K146">
        <v>7943.3263121340051</v>
      </c>
    </row>
    <row r="147" spans="11:11" x14ac:dyDescent="0.45">
      <c r="K147">
        <v>10440.045094091483</v>
      </c>
    </row>
    <row r="148" spans="11:11" x14ac:dyDescent="0.45">
      <c r="K148">
        <v>6950.2904498181306</v>
      </c>
    </row>
    <row r="149" spans="11:11" x14ac:dyDescent="0.45">
      <c r="K149">
        <v>12830.493014278865</v>
      </c>
    </row>
    <row r="150" spans="11:11" x14ac:dyDescent="0.45">
      <c r="K150">
        <v>7454.7528096815049</v>
      </c>
    </row>
    <row r="151" spans="11:11" x14ac:dyDescent="0.45">
      <c r="K151">
        <v>8005.9535157366599</v>
      </c>
    </row>
    <row r="152" spans="11:11" x14ac:dyDescent="0.45">
      <c r="K152">
        <v>10676.981818712971</v>
      </c>
    </row>
    <row r="153" spans="11:11" x14ac:dyDescent="0.45">
      <c r="K153">
        <v>14795.89356781371</v>
      </c>
    </row>
    <row r="154" spans="11:11" x14ac:dyDescent="0.45">
      <c r="K154">
        <v>10386.42166882572</v>
      </c>
    </row>
    <row r="155" spans="11:11" x14ac:dyDescent="0.45">
      <c r="K155">
        <v>11026.607017922175</v>
      </c>
    </row>
    <row r="156" spans="11:11" x14ac:dyDescent="0.45">
      <c r="K156">
        <v>11852.239969696935</v>
      </c>
    </row>
    <row r="157" spans="11:11" x14ac:dyDescent="0.45">
      <c r="K157">
        <v>7702.0114897042677</v>
      </c>
    </row>
    <row r="158" spans="11:11" x14ac:dyDescent="0.45">
      <c r="K158">
        <v>9491.9304804836665</v>
      </c>
    </row>
    <row r="159" spans="11:11" x14ac:dyDescent="0.45">
      <c r="K159">
        <v>8283.5834097977986</v>
      </c>
    </row>
    <row r="160" spans="11:11" x14ac:dyDescent="0.45">
      <c r="K160">
        <v>11825.924863154929</v>
      </c>
    </row>
    <row r="161" spans="11:11" x14ac:dyDescent="0.45">
      <c r="K161">
        <v>11977.253280602574</v>
      </c>
    </row>
    <row r="162" spans="11:11" x14ac:dyDescent="0.45">
      <c r="K162">
        <v>10859.446345768434</v>
      </c>
    </row>
    <row r="163" spans="11:11" x14ac:dyDescent="0.45">
      <c r="K163">
        <v>9346.9283110217766</v>
      </c>
    </row>
    <row r="164" spans="11:11" x14ac:dyDescent="0.45">
      <c r="K164">
        <v>7980.1031894528605</v>
      </c>
    </row>
    <row r="165" spans="11:11" x14ac:dyDescent="0.45">
      <c r="K165">
        <v>8716.2605282184486</v>
      </c>
    </row>
    <row r="166" spans="11:11" x14ac:dyDescent="0.45">
      <c r="K166">
        <v>10052.738231352761</v>
      </c>
    </row>
    <row r="167" spans="11:11" x14ac:dyDescent="0.45">
      <c r="K167">
        <v>3226.5416395665025</v>
      </c>
    </row>
    <row r="168" spans="11:11" x14ac:dyDescent="0.45">
      <c r="K168">
        <v>6591.1307763513869</v>
      </c>
    </row>
    <row r="169" spans="11:11" x14ac:dyDescent="0.45">
      <c r="K169">
        <v>8465.8589555281687</v>
      </c>
    </row>
    <row r="170" spans="11:11" x14ac:dyDescent="0.45">
      <c r="K170">
        <v>8355.8732185718927</v>
      </c>
    </row>
    <row r="171" spans="11:11" x14ac:dyDescent="0.45">
      <c r="K171">
        <v>15406.449860768054</v>
      </c>
    </row>
    <row r="172" spans="11:11" x14ac:dyDescent="0.45">
      <c r="K172">
        <v>9515.0039264353054</v>
      </c>
    </row>
    <row r="173" spans="11:11" x14ac:dyDescent="0.45">
      <c r="K173">
        <v>11538.983799663192</v>
      </c>
    </row>
    <row r="174" spans="11:11" x14ac:dyDescent="0.45">
      <c r="K174">
        <v>8997.0886021546212</v>
      </c>
    </row>
    <row r="175" spans="11:11" x14ac:dyDescent="0.45">
      <c r="K175">
        <v>6405.67719209801</v>
      </c>
    </row>
    <row r="176" spans="11:11" x14ac:dyDescent="0.45">
      <c r="K176">
        <v>8398.4479743501161</v>
      </c>
    </row>
    <row r="177" spans="11:11" x14ac:dyDescent="0.45">
      <c r="K177">
        <v>9544.3266381553967</v>
      </c>
    </row>
    <row r="178" spans="11:11" x14ac:dyDescent="0.45">
      <c r="K178">
        <v>8357.5780372423815</v>
      </c>
    </row>
    <row r="179" spans="11:11" x14ac:dyDescent="0.45">
      <c r="K179">
        <v>6785.1441382500761</v>
      </c>
    </row>
    <row r="180" spans="11:11" x14ac:dyDescent="0.45">
      <c r="K180">
        <v>8601.0909956574669</v>
      </c>
    </row>
    <row r="181" spans="11:11" x14ac:dyDescent="0.45">
      <c r="K181">
        <v>9021.9139947733038</v>
      </c>
    </row>
    <row r="182" spans="11:11" x14ac:dyDescent="0.45">
      <c r="K182">
        <v>10977.697301349206</v>
      </c>
    </row>
    <row r="183" spans="11:11" x14ac:dyDescent="0.45">
      <c r="K183">
        <v>8647.1102050634054</v>
      </c>
    </row>
    <row r="184" spans="11:11" x14ac:dyDescent="0.45">
      <c r="K184">
        <v>9612.5176205965945</v>
      </c>
    </row>
    <row r="185" spans="11:11" x14ac:dyDescent="0.45">
      <c r="K185">
        <v>7907.2741462681952</v>
      </c>
    </row>
    <row r="186" spans="11:11" x14ac:dyDescent="0.45">
      <c r="K186">
        <v>8488.336454602977</v>
      </c>
    </row>
    <row r="187" spans="11:11" x14ac:dyDescent="0.45">
      <c r="K187">
        <v>7456.8365447234064</v>
      </c>
    </row>
    <row r="188" spans="11:11" x14ac:dyDescent="0.45">
      <c r="K188">
        <v>10821.424326872706</v>
      </c>
    </row>
    <row r="189" spans="11:11" x14ac:dyDescent="0.45">
      <c r="K189">
        <v>9683.5376716293686</v>
      </c>
    </row>
    <row r="190" spans="11:11" x14ac:dyDescent="0.45">
      <c r="K190">
        <v>9660.8608950268735</v>
      </c>
    </row>
    <row r="191" spans="11:11" x14ac:dyDescent="0.45">
      <c r="K191">
        <v>9351.2363976871529</v>
      </c>
    </row>
    <row r="192" spans="11:11" x14ac:dyDescent="0.45">
      <c r="K192">
        <v>13587.363548967329</v>
      </c>
    </row>
    <row r="193" spans="11:11" x14ac:dyDescent="0.45">
      <c r="K193">
        <v>9590.890703008492</v>
      </c>
    </row>
    <row r="194" spans="11:11" x14ac:dyDescent="0.45">
      <c r="K194">
        <v>6074.7790821784256</v>
      </c>
    </row>
    <row r="195" spans="11:11" x14ac:dyDescent="0.45">
      <c r="K195">
        <v>10523.867365652113</v>
      </c>
    </row>
    <row r="196" spans="11:11" x14ac:dyDescent="0.45">
      <c r="K196">
        <v>9991.1175106386254</v>
      </c>
    </row>
    <row r="197" spans="11:11" x14ac:dyDescent="0.45">
      <c r="K197">
        <v>12528.598081307338</v>
      </c>
    </row>
    <row r="198" spans="11:11" x14ac:dyDescent="0.45">
      <c r="K198">
        <v>8969.1759888347133</v>
      </c>
    </row>
    <row r="199" spans="11:11" x14ac:dyDescent="0.45">
      <c r="K199">
        <v>8219.5091243012084</v>
      </c>
    </row>
    <row r="200" spans="11:11" x14ac:dyDescent="0.45">
      <c r="K200">
        <v>10712.630959509837</v>
      </c>
    </row>
    <row r="201" spans="11:11" x14ac:dyDescent="0.45">
      <c r="K201">
        <v>12598.563377934308</v>
      </c>
    </row>
    <row r="202" spans="11:11" x14ac:dyDescent="0.45">
      <c r="K202">
        <v>9917.442839384541</v>
      </c>
    </row>
    <row r="203" spans="11:11" x14ac:dyDescent="0.45">
      <c r="K203">
        <v>8603.2081341115281</v>
      </c>
    </row>
    <row r="204" spans="11:11" x14ac:dyDescent="0.45">
      <c r="K204">
        <v>8794.2762912899834</v>
      </c>
    </row>
    <row r="205" spans="11:11" x14ac:dyDescent="0.45">
      <c r="K205">
        <v>9176.5487704233383</v>
      </c>
    </row>
    <row r="206" spans="11:11" x14ac:dyDescent="0.45">
      <c r="K206">
        <v>6519.6921868251447</v>
      </c>
    </row>
    <row r="207" spans="11:11" x14ac:dyDescent="0.45">
      <c r="K207">
        <v>7057.4603033219191</v>
      </c>
    </row>
    <row r="208" spans="11:11" x14ac:dyDescent="0.45">
      <c r="K208">
        <v>10570.456803043156</v>
      </c>
    </row>
    <row r="209" spans="11:11" x14ac:dyDescent="0.45">
      <c r="K209">
        <v>9137.6575485182857</v>
      </c>
    </row>
    <row r="210" spans="11:11" x14ac:dyDescent="0.45">
      <c r="K210">
        <v>11757.26559466827</v>
      </c>
    </row>
    <row r="211" spans="11:11" x14ac:dyDescent="0.45">
      <c r="K211">
        <v>7483.07124710883</v>
      </c>
    </row>
    <row r="212" spans="11:11" x14ac:dyDescent="0.45">
      <c r="K212">
        <v>9139.7597892021859</v>
      </c>
    </row>
    <row r="213" spans="11:11" x14ac:dyDescent="0.45">
      <c r="K213">
        <v>8199.1009263268897</v>
      </c>
    </row>
    <row r="214" spans="11:11" x14ac:dyDescent="0.45">
      <c r="K214">
        <v>13417.643647228369</v>
      </c>
    </row>
    <row r="215" spans="11:11" x14ac:dyDescent="0.45">
      <c r="K215">
        <v>10636.951624476014</v>
      </c>
    </row>
    <row r="216" spans="11:11" x14ac:dyDescent="0.45">
      <c r="K216">
        <v>16268.735531617687</v>
      </c>
    </row>
    <row r="217" spans="11:11" x14ac:dyDescent="0.45">
      <c r="K217">
        <v>9843.6849972653126</v>
      </c>
    </row>
    <row r="218" spans="11:11" x14ac:dyDescent="0.45">
      <c r="K218">
        <v>10102.491366033895</v>
      </c>
    </row>
    <row r="219" spans="11:11" x14ac:dyDescent="0.45">
      <c r="K219">
        <v>6696.8900536493347</v>
      </c>
    </row>
    <row r="220" spans="11:11" x14ac:dyDescent="0.45">
      <c r="K220">
        <v>5700.6547844207498</v>
      </c>
    </row>
    <row r="221" spans="11:11" x14ac:dyDescent="0.45">
      <c r="K221">
        <v>10637.634348396969</v>
      </c>
    </row>
    <row r="222" spans="11:11" x14ac:dyDescent="0.45">
      <c r="K222">
        <v>8528.6247584988887</v>
      </c>
    </row>
    <row r="223" spans="11:11" x14ac:dyDescent="0.45">
      <c r="K223">
        <v>11437.425633556333</v>
      </c>
    </row>
    <row r="224" spans="11:11" x14ac:dyDescent="0.45">
      <c r="K224">
        <v>10304.312043029953</v>
      </c>
    </row>
    <row r="225" spans="11:11" x14ac:dyDescent="0.45">
      <c r="K225">
        <v>11060.896268212809</v>
      </c>
    </row>
    <row r="226" spans="11:11" x14ac:dyDescent="0.45">
      <c r="K226">
        <v>6232.0430542042322</v>
      </c>
    </row>
    <row r="227" spans="11:11" x14ac:dyDescent="0.45">
      <c r="K227">
        <v>10893.999708946949</v>
      </c>
    </row>
    <row r="228" spans="11:11" x14ac:dyDescent="0.45">
      <c r="K228">
        <v>7044.6870586885507</v>
      </c>
    </row>
    <row r="229" spans="11:11" x14ac:dyDescent="0.45">
      <c r="K229">
        <v>10938.742889871693</v>
      </c>
    </row>
    <row r="230" spans="11:11" x14ac:dyDescent="0.45">
      <c r="K230">
        <v>9251.9474932171433</v>
      </c>
    </row>
    <row r="231" spans="11:11" x14ac:dyDescent="0.45">
      <c r="K231">
        <v>8332.8298877335947</v>
      </c>
    </row>
    <row r="232" spans="11:11" x14ac:dyDescent="0.45">
      <c r="K232">
        <v>10237.491224908241</v>
      </c>
    </row>
    <row r="233" spans="11:11" x14ac:dyDescent="0.45">
      <c r="K233">
        <v>11405.334921672627</v>
      </c>
    </row>
    <row r="234" spans="11:11" x14ac:dyDescent="0.45">
      <c r="K234">
        <v>12730.516767459761</v>
      </c>
    </row>
    <row r="235" spans="11:11" x14ac:dyDescent="0.45">
      <c r="K235">
        <v>9795.3246336807952</v>
      </c>
    </row>
    <row r="236" spans="11:11" x14ac:dyDescent="0.45">
      <c r="K236">
        <v>7890.4363137324326</v>
      </c>
    </row>
    <row r="237" spans="11:11" x14ac:dyDescent="0.45">
      <c r="K237">
        <v>7544.3340502871442</v>
      </c>
    </row>
    <row r="238" spans="11:11" x14ac:dyDescent="0.45">
      <c r="K238">
        <v>7700.4742268188393</v>
      </c>
    </row>
    <row r="239" spans="11:11" x14ac:dyDescent="0.45">
      <c r="K239">
        <v>9538.5320694020429</v>
      </c>
    </row>
    <row r="240" spans="11:11" x14ac:dyDescent="0.45">
      <c r="K240">
        <v>12642.952502420299</v>
      </c>
    </row>
    <row r="241" spans="11:11" x14ac:dyDescent="0.45">
      <c r="K241">
        <v>12282.527751313301</v>
      </c>
    </row>
    <row r="242" spans="11:11" x14ac:dyDescent="0.45">
      <c r="K242">
        <v>5816.2313071996032</v>
      </c>
    </row>
    <row r="243" spans="11:11" x14ac:dyDescent="0.45">
      <c r="K243">
        <v>7273.6390217469243</v>
      </c>
    </row>
    <row r="244" spans="11:11" x14ac:dyDescent="0.45">
      <c r="K244">
        <v>8750.1756480057393</v>
      </c>
    </row>
    <row r="245" spans="11:11" x14ac:dyDescent="0.45">
      <c r="K245">
        <v>10948.378912621169</v>
      </c>
    </row>
    <row r="246" spans="11:11" x14ac:dyDescent="0.45">
      <c r="K246">
        <v>10893.860333565666</v>
      </c>
    </row>
    <row r="247" spans="11:11" x14ac:dyDescent="0.45">
      <c r="K247">
        <v>6630.1964152136425</v>
      </c>
    </row>
    <row r="248" spans="11:11" x14ac:dyDescent="0.45">
      <c r="K248">
        <v>5847.744198890332</v>
      </c>
    </row>
    <row r="249" spans="11:11" x14ac:dyDescent="0.45">
      <c r="K249">
        <v>8513.7182809474034</v>
      </c>
    </row>
    <row r="250" spans="11:11" x14ac:dyDescent="0.45">
      <c r="K250">
        <v>11471.795467490803</v>
      </c>
    </row>
    <row r="251" spans="11:11" x14ac:dyDescent="0.45">
      <c r="K251">
        <v>10223.434169125941</v>
      </c>
    </row>
    <row r="252" spans="11:11" x14ac:dyDescent="0.45">
      <c r="K252">
        <v>9880.4620958718679</v>
      </c>
    </row>
    <row r="253" spans="11:11" x14ac:dyDescent="0.45">
      <c r="K253">
        <v>5696.6631383503091</v>
      </c>
    </row>
    <row r="254" spans="11:11" x14ac:dyDescent="0.45">
      <c r="K254">
        <v>13101.50737550106</v>
      </c>
    </row>
    <row r="255" spans="11:11" x14ac:dyDescent="0.45">
      <c r="K255">
        <v>7085.7470292522084</v>
      </c>
    </row>
    <row r="256" spans="11:11" x14ac:dyDescent="0.45">
      <c r="K256">
        <v>9906.2331071433036</v>
      </c>
    </row>
    <row r="257" spans="11:11" x14ac:dyDescent="0.45">
      <c r="K257">
        <v>8286.3139143161879</v>
      </c>
    </row>
    <row r="258" spans="11:11" x14ac:dyDescent="0.45">
      <c r="K258">
        <v>7860.4572652684192</v>
      </c>
    </row>
    <row r="259" spans="11:11" x14ac:dyDescent="0.45">
      <c r="K259">
        <v>11761.681209790342</v>
      </c>
    </row>
    <row r="260" spans="11:11" x14ac:dyDescent="0.45">
      <c r="K260">
        <v>12630.570376060636</v>
      </c>
    </row>
    <row r="261" spans="11:11" x14ac:dyDescent="0.45">
      <c r="K261">
        <v>8191.3566487067528</v>
      </c>
    </row>
    <row r="262" spans="11:11" x14ac:dyDescent="0.45">
      <c r="K262">
        <v>8746.9626108276661</v>
      </c>
    </row>
    <row r="263" spans="11:11" x14ac:dyDescent="0.45">
      <c r="K263">
        <v>5820.3838750091581</v>
      </c>
    </row>
    <row r="264" spans="11:11" x14ac:dyDescent="0.45">
      <c r="K264">
        <v>9027.1912339028968</v>
      </c>
    </row>
    <row r="265" spans="11:11" x14ac:dyDescent="0.45">
      <c r="K265">
        <v>12787.657272654575</v>
      </c>
    </row>
    <row r="266" spans="11:11" x14ac:dyDescent="0.45">
      <c r="K266">
        <v>11636.216276467088</v>
      </c>
    </row>
    <row r="267" spans="11:11" x14ac:dyDescent="0.45">
      <c r="K267">
        <v>10637.06613306572</v>
      </c>
    </row>
    <row r="268" spans="11:11" x14ac:dyDescent="0.45">
      <c r="K268">
        <v>9947.2874501562928</v>
      </c>
    </row>
    <row r="269" spans="11:11" x14ac:dyDescent="0.45">
      <c r="K269">
        <v>5999.6510425674842</v>
      </c>
    </row>
    <row r="270" spans="11:11" x14ac:dyDescent="0.45">
      <c r="K270">
        <v>13548.799504097839</v>
      </c>
    </row>
    <row r="271" spans="11:11" x14ac:dyDescent="0.45">
      <c r="K271">
        <v>10301.812634093878</v>
      </c>
    </row>
    <row r="272" spans="11:11" x14ac:dyDescent="0.45">
      <c r="K272">
        <v>13305.564600679385</v>
      </c>
    </row>
    <row r="273" spans="11:11" x14ac:dyDescent="0.45">
      <c r="K273">
        <v>10991.328015665886</v>
      </c>
    </row>
    <row r="274" spans="11:11" x14ac:dyDescent="0.45">
      <c r="K274">
        <v>8538.6103522338508</v>
      </c>
    </row>
    <row r="275" spans="11:11" x14ac:dyDescent="0.45">
      <c r="K275">
        <v>9445.1518989767465</v>
      </c>
    </row>
    <row r="276" spans="11:11" x14ac:dyDescent="0.45">
      <c r="K276">
        <v>9376.4095908087565</v>
      </c>
    </row>
    <row r="277" spans="11:11" x14ac:dyDescent="0.45">
      <c r="K277">
        <v>8058.9021563574534</v>
      </c>
    </row>
    <row r="278" spans="11:11" x14ac:dyDescent="0.45">
      <c r="K278">
        <v>6022.1532069348395</v>
      </c>
    </row>
    <row r="279" spans="11:11" x14ac:dyDescent="0.45">
      <c r="K279">
        <v>11969.74443264689</v>
      </c>
    </row>
    <row r="280" spans="11:11" x14ac:dyDescent="0.45">
      <c r="K280">
        <v>7508.1909996822596</v>
      </c>
    </row>
    <row r="281" spans="11:11" x14ac:dyDescent="0.45">
      <c r="K281">
        <v>8237.1376529105983</v>
      </c>
    </row>
    <row r="282" spans="11:11" x14ac:dyDescent="0.45">
      <c r="K282">
        <v>8593.3969627174374</v>
      </c>
    </row>
    <row r="283" spans="11:11" x14ac:dyDescent="0.45">
      <c r="K283">
        <v>12234.819270253334</v>
      </c>
    </row>
    <row r="284" spans="11:11" x14ac:dyDescent="0.45">
      <c r="K284">
        <v>8659.3266853555033</v>
      </c>
    </row>
    <row r="285" spans="11:11" x14ac:dyDescent="0.45">
      <c r="K285">
        <v>9587.5031007260513</v>
      </c>
    </row>
    <row r="286" spans="11:11" x14ac:dyDescent="0.45">
      <c r="K286">
        <v>11725.888843250703</v>
      </c>
    </row>
    <row r="287" spans="11:11" x14ac:dyDescent="0.45">
      <c r="K287">
        <v>11932.650078025854</v>
      </c>
    </row>
    <row r="288" spans="11:11" x14ac:dyDescent="0.45">
      <c r="K288">
        <v>9894.1903376642294</v>
      </c>
    </row>
    <row r="289" spans="11:11" x14ac:dyDescent="0.45">
      <c r="K289">
        <v>10634.123280414195</v>
      </c>
    </row>
    <row r="290" spans="11:11" x14ac:dyDescent="0.45">
      <c r="K290">
        <v>8223.7703369992414</v>
      </c>
    </row>
    <row r="291" spans="11:11" x14ac:dyDescent="0.45">
      <c r="K291">
        <v>13072.223085129037</v>
      </c>
    </row>
    <row r="292" spans="11:11" x14ac:dyDescent="0.45">
      <c r="K292">
        <v>5513.6534767846251</v>
      </c>
    </row>
    <row r="293" spans="11:11" x14ac:dyDescent="0.45">
      <c r="K293">
        <v>8753.1159664742354</v>
      </c>
    </row>
    <row r="294" spans="11:11" x14ac:dyDescent="0.45">
      <c r="K294">
        <v>7505.3770910964258</v>
      </c>
    </row>
    <row r="295" spans="11:11" x14ac:dyDescent="0.45">
      <c r="K295">
        <v>9214.0427252725131</v>
      </c>
    </row>
    <row r="296" spans="11:11" x14ac:dyDescent="0.45">
      <c r="K296">
        <v>10766.984508140795</v>
      </c>
    </row>
    <row r="297" spans="11:11" x14ac:dyDescent="0.45">
      <c r="K297">
        <v>9084.1112236015542</v>
      </c>
    </row>
    <row r="298" spans="11:11" x14ac:dyDescent="0.45">
      <c r="K298">
        <v>10007.956913385293</v>
      </c>
    </row>
    <row r="299" spans="11:11" x14ac:dyDescent="0.45">
      <c r="K299">
        <v>10505.756655827927</v>
      </c>
    </row>
    <row r="300" spans="11:11" x14ac:dyDescent="0.45">
      <c r="K300">
        <v>13631.780859376289</v>
      </c>
    </row>
    <row r="301" spans="11:11" x14ac:dyDescent="0.45">
      <c r="K301">
        <v>8907.8340153971603</v>
      </c>
    </row>
    <row r="302" spans="11:11" x14ac:dyDescent="0.45">
      <c r="K302">
        <v>9606.4530873395543</v>
      </c>
    </row>
    <row r="303" spans="11:11" x14ac:dyDescent="0.45">
      <c r="K303">
        <v>10535.872752298299</v>
      </c>
    </row>
    <row r="304" spans="11:11" x14ac:dyDescent="0.45">
      <c r="K304">
        <v>12428.358965345105</v>
      </c>
    </row>
    <row r="305" spans="11:11" x14ac:dyDescent="0.45">
      <c r="K305">
        <v>8694.8278428268895</v>
      </c>
    </row>
    <row r="306" spans="11:11" x14ac:dyDescent="0.45">
      <c r="K306">
        <v>7282.3772034761969</v>
      </c>
    </row>
    <row r="307" spans="11:11" x14ac:dyDescent="0.45">
      <c r="K307">
        <v>12206.742658660592</v>
      </c>
    </row>
    <row r="308" spans="11:11" x14ac:dyDescent="0.45">
      <c r="K308">
        <v>10485.475148178113</v>
      </c>
    </row>
    <row r="309" spans="11:11" x14ac:dyDescent="0.45">
      <c r="K309">
        <v>12191.784328873004</v>
      </c>
    </row>
    <row r="310" spans="11:11" x14ac:dyDescent="0.45">
      <c r="K310">
        <v>5720.4366089353916</v>
      </c>
    </row>
    <row r="311" spans="11:11" x14ac:dyDescent="0.45">
      <c r="K311">
        <v>8600.497190647453</v>
      </c>
    </row>
    <row r="312" spans="11:11" x14ac:dyDescent="0.45">
      <c r="K312">
        <v>8047.125552831867</v>
      </c>
    </row>
    <row r="313" spans="11:11" x14ac:dyDescent="0.45">
      <c r="K313">
        <v>6748.4170931281133</v>
      </c>
    </row>
    <row r="314" spans="11:11" x14ac:dyDescent="0.45">
      <c r="K314">
        <v>7272.3318187261484</v>
      </c>
    </row>
    <row r="315" spans="11:11" x14ac:dyDescent="0.45">
      <c r="K315">
        <v>11340.050412779299</v>
      </c>
    </row>
    <row r="316" spans="11:11" x14ac:dyDescent="0.45">
      <c r="K316">
        <v>9464.2800666631792</v>
      </c>
    </row>
    <row r="317" spans="11:11" x14ac:dyDescent="0.45">
      <c r="K317">
        <v>8207.6909535751784</v>
      </c>
    </row>
    <row r="318" spans="11:11" x14ac:dyDescent="0.45">
      <c r="K318">
        <v>10282.353539819196</v>
      </c>
    </row>
    <row r="319" spans="11:11" x14ac:dyDescent="0.45">
      <c r="K319">
        <v>11211.986094811045</v>
      </c>
    </row>
    <row r="320" spans="11:11" x14ac:dyDescent="0.45">
      <c r="K320">
        <v>12863.813656182798</v>
      </c>
    </row>
    <row r="321" spans="11:11" x14ac:dyDescent="0.45">
      <c r="K321">
        <v>8345.5053431140477</v>
      </c>
    </row>
    <row r="322" spans="11:11" x14ac:dyDescent="0.45">
      <c r="K322">
        <v>6516.0979488796866</v>
      </c>
    </row>
    <row r="323" spans="11:11" x14ac:dyDescent="0.45">
      <c r="K323">
        <v>10147.275390493203</v>
      </c>
    </row>
    <row r="324" spans="11:11" x14ac:dyDescent="0.45">
      <c r="K324">
        <v>9475.6915702857696</v>
      </c>
    </row>
    <row r="325" spans="11:11" x14ac:dyDescent="0.45">
      <c r="K325">
        <v>8680.2601598156361</v>
      </c>
    </row>
    <row r="326" spans="11:11" x14ac:dyDescent="0.45">
      <c r="K326">
        <v>13009.677642156048</v>
      </c>
    </row>
    <row r="327" spans="11:11" x14ac:dyDescent="0.45">
      <c r="K327">
        <v>10084.303310328722</v>
      </c>
    </row>
    <row r="328" spans="11:11" x14ac:dyDescent="0.45">
      <c r="K328">
        <v>11493.286515821794</v>
      </c>
    </row>
    <row r="329" spans="11:11" x14ac:dyDescent="0.45">
      <c r="K329">
        <v>11743.391991166724</v>
      </c>
    </row>
    <row r="330" spans="11:11" x14ac:dyDescent="0.45">
      <c r="K330">
        <v>6240.9956320070141</v>
      </c>
    </row>
    <row r="331" spans="11:11" x14ac:dyDescent="0.45">
      <c r="K331">
        <v>12984.246066122232</v>
      </c>
    </row>
    <row r="332" spans="11:11" x14ac:dyDescent="0.45">
      <c r="K332">
        <v>17424.877751385131</v>
      </c>
    </row>
    <row r="333" spans="11:11" x14ac:dyDescent="0.45">
      <c r="K333">
        <v>10669.189913652635</v>
      </c>
    </row>
    <row r="334" spans="11:11" x14ac:dyDescent="0.45">
      <c r="K334">
        <v>12258.185694085201</v>
      </c>
    </row>
    <row r="335" spans="11:11" x14ac:dyDescent="0.45">
      <c r="K335">
        <v>11042.234601861888</v>
      </c>
    </row>
    <row r="336" spans="11:11" x14ac:dyDescent="0.45">
      <c r="K336">
        <v>7847.2764771029979</v>
      </c>
    </row>
    <row r="337" spans="11:11" x14ac:dyDescent="0.45">
      <c r="K337">
        <v>12434.168786274367</v>
      </c>
    </row>
    <row r="338" spans="11:11" x14ac:dyDescent="0.45">
      <c r="K338">
        <v>9465.5491317129326</v>
      </c>
    </row>
    <row r="339" spans="11:11" x14ac:dyDescent="0.45">
      <c r="K339">
        <v>7527.2841494992108</v>
      </c>
    </row>
    <row r="340" spans="11:11" x14ac:dyDescent="0.45">
      <c r="K340">
        <v>11857.171823476339</v>
      </c>
    </row>
    <row r="341" spans="11:11" x14ac:dyDescent="0.45">
      <c r="K341">
        <v>6993.982634643764</v>
      </c>
    </row>
    <row r="342" spans="11:11" x14ac:dyDescent="0.45">
      <c r="K342">
        <v>9895.3551491652379</v>
      </c>
    </row>
    <row r="343" spans="11:11" x14ac:dyDescent="0.45">
      <c r="K343">
        <v>9615.5816478186225</v>
      </c>
    </row>
    <row r="344" spans="11:11" x14ac:dyDescent="0.45">
      <c r="K344">
        <v>13123.317726013363</v>
      </c>
    </row>
    <row r="345" spans="11:11" x14ac:dyDescent="0.45">
      <c r="K345">
        <v>12061.997331745366</v>
      </c>
    </row>
    <row r="346" spans="11:11" x14ac:dyDescent="0.45">
      <c r="K346">
        <v>12202.666573546321</v>
      </c>
    </row>
    <row r="347" spans="11:11" x14ac:dyDescent="0.45">
      <c r="K347">
        <v>7831.0380552705492</v>
      </c>
    </row>
    <row r="348" spans="11:11" x14ac:dyDescent="0.45">
      <c r="K348">
        <v>5899.3566870655241</v>
      </c>
    </row>
    <row r="349" spans="11:11" x14ac:dyDescent="0.45">
      <c r="K349">
        <v>9085.422009667087</v>
      </c>
    </row>
    <row r="350" spans="11:11" x14ac:dyDescent="0.45">
      <c r="K350">
        <v>12045.455230487678</v>
      </c>
    </row>
    <row r="351" spans="11:11" x14ac:dyDescent="0.45">
      <c r="K351">
        <v>4553.1235811746083</v>
      </c>
    </row>
    <row r="352" spans="11:11" x14ac:dyDescent="0.45">
      <c r="K352">
        <v>9453.5310260754159</v>
      </c>
    </row>
    <row r="353" spans="11:11" x14ac:dyDescent="0.45">
      <c r="K353">
        <v>11217.316925172003</v>
      </c>
    </row>
    <row r="354" spans="11:11" x14ac:dyDescent="0.45">
      <c r="K354">
        <v>9438.1571940869399</v>
      </c>
    </row>
    <row r="355" spans="11:11" x14ac:dyDescent="0.45">
      <c r="K355">
        <v>15574.150800716208</v>
      </c>
    </row>
    <row r="356" spans="11:11" x14ac:dyDescent="0.45">
      <c r="K356">
        <v>11669.272304346798</v>
      </c>
    </row>
    <row r="357" spans="11:11" x14ac:dyDescent="0.45">
      <c r="K357">
        <v>7660.0409852302009</v>
      </c>
    </row>
    <row r="358" spans="11:11" x14ac:dyDescent="0.45">
      <c r="K358">
        <v>9466.1600269699447</v>
      </c>
    </row>
    <row r="359" spans="11:11" x14ac:dyDescent="0.45">
      <c r="K359">
        <v>10108.157057424402</v>
      </c>
    </row>
    <row r="360" spans="11:11" x14ac:dyDescent="0.45">
      <c r="K360">
        <v>10748.548131249678</v>
      </c>
    </row>
    <row r="361" spans="11:11" x14ac:dyDescent="0.45">
      <c r="K361">
        <v>13056.612864067425</v>
      </c>
    </row>
    <row r="362" spans="11:11" x14ac:dyDescent="0.45">
      <c r="K362">
        <v>8898.3238525569304</v>
      </c>
    </row>
    <row r="363" spans="11:11" x14ac:dyDescent="0.45">
      <c r="K363">
        <v>11039.540895285059</v>
      </c>
    </row>
    <row r="364" spans="11:11" x14ac:dyDescent="0.45">
      <c r="K364">
        <v>7909.8039117186499</v>
      </c>
    </row>
    <row r="365" spans="11:11" x14ac:dyDescent="0.45">
      <c r="K365">
        <v>9624.3422611450387</v>
      </c>
    </row>
    <row r="366" spans="11:11" x14ac:dyDescent="0.45">
      <c r="K366">
        <v>8700.617992379337</v>
      </c>
    </row>
    <row r="367" spans="11:11" x14ac:dyDescent="0.45">
      <c r="K367">
        <v>6646.8059247507754</v>
      </c>
    </row>
    <row r="368" spans="11:11" x14ac:dyDescent="0.45">
      <c r="K368">
        <v>11944.118238189812</v>
      </c>
    </row>
    <row r="369" spans="11:11" x14ac:dyDescent="0.45">
      <c r="K369">
        <v>7042.3673362931913</v>
      </c>
    </row>
    <row r="370" spans="11:11" x14ac:dyDescent="0.45">
      <c r="K370">
        <v>9999.0254091979095</v>
      </c>
    </row>
    <row r="371" spans="11:11" x14ac:dyDescent="0.45">
      <c r="K371">
        <v>11191.791568853005</v>
      </c>
    </row>
    <row r="372" spans="11:11" x14ac:dyDescent="0.45">
      <c r="K372">
        <v>8011.4164288273387</v>
      </c>
    </row>
    <row r="373" spans="11:11" x14ac:dyDescent="0.45">
      <c r="K373">
        <v>7177.0864466464118</v>
      </c>
    </row>
    <row r="374" spans="11:11" x14ac:dyDescent="0.45">
      <c r="K374">
        <v>8661.5428519596262</v>
      </c>
    </row>
    <row r="375" spans="11:11" x14ac:dyDescent="0.45">
      <c r="K375">
        <v>9014.244277152502</v>
      </c>
    </row>
    <row r="376" spans="11:11" x14ac:dyDescent="0.45">
      <c r="K376">
        <v>13585.834525405224</v>
      </c>
    </row>
    <row r="377" spans="11:11" x14ac:dyDescent="0.45">
      <c r="K377">
        <v>5864.7585927963846</v>
      </c>
    </row>
    <row r="378" spans="11:11" x14ac:dyDescent="0.45">
      <c r="K378">
        <v>9319.0525824069155</v>
      </c>
    </row>
    <row r="379" spans="11:11" x14ac:dyDescent="0.45">
      <c r="K379">
        <v>9269.948211546649</v>
      </c>
    </row>
    <row r="380" spans="11:11" x14ac:dyDescent="0.45">
      <c r="K380">
        <v>9194.9488028117612</v>
      </c>
    </row>
    <row r="381" spans="11:11" x14ac:dyDescent="0.45">
      <c r="K381">
        <v>8769.3638342799186</v>
      </c>
    </row>
    <row r="382" spans="11:11" x14ac:dyDescent="0.45">
      <c r="K382">
        <v>13358.00768720753</v>
      </c>
    </row>
    <row r="383" spans="11:11" x14ac:dyDescent="0.45">
      <c r="K383">
        <v>5189.2010149285334</v>
      </c>
    </row>
    <row r="384" spans="11:11" x14ac:dyDescent="0.45">
      <c r="K384">
        <v>8596.0345538544516</v>
      </c>
    </row>
    <row r="385" spans="11:11" x14ac:dyDescent="0.45">
      <c r="K385">
        <v>11901.706960091688</v>
      </c>
    </row>
    <row r="386" spans="11:11" x14ac:dyDescent="0.45">
      <c r="K386">
        <v>7988.9065789246888</v>
      </c>
    </row>
    <row r="387" spans="11:11" x14ac:dyDescent="0.45">
      <c r="K387">
        <v>9742.7137915113108</v>
      </c>
    </row>
    <row r="388" spans="11:11" x14ac:dyDescent="0.45">
      <c r="K388">
        <v>11276.0174551615</v>
      </c>
    </row>
    <row r="389" spans="11:11" x14ac:dyDescent="0.45">
      <c r="K389">
        <v>7416.2940918955974</v>
      </c>
    </row>
    <row r="390" spans="11:11" x14ac:dyDescent="0.45">
      <c r="K390">
        <v>9292.9704902889716</v>
      </c>
    </row>
    <row r="391" spans="11:11" x14ac:dyDescent="0.45">
      <c r="K391">
        <v>11055.457870318574</v>
      </c>
    </row>
    <row r="392" spans="11:11" x14ac:dyDescent="0.45">
      <c r="K392">
        <v>10764.888033117992</v>
      </c>
    </row>
    <row r="393" spans="11:11" x14ac:dyDescent="0.45">
      <c r="K393">
        <v>9340.6664284533599</v>
      </c>
    </row>
    <row r="394" spans="11:11" x14ac:dyDescent="0.45">
      <c r="K394">
        <v>12026.89843823907</v>
      </c>
    </row>
    <row r="395" spans="11:11" x14ac:dyDescent="0.45">
      <c r="K395">
        <v>6827.9777612813014</v>
      </c>
    </row>
    <row r="396" spans="11:11" x14ac:dyDescent="0.45">
      <c r="K396">
        <v>11363.1012027372</v>
      </c>
    </row>
    <row r="397" spans="11:11" x14ac:dyDescent="0.45">
      <c r="K397">
        <v>5406.7121213425571</v>
      </c>
    </row>
    <row r="398" spans="11:11" x14ac:dyDescent="0.45">
      <c r="K398">
        <v>11611.832627266758</v>
      </c>
    </row>
    <row r="399" spans="11:11" x14ac:dyDescent="0.45">
      <c r="K399">
        <v>11970.197871601442</v>
      </c>
    </row>
    <row r="400" spans="11:11" x14ac:dyDescent="0.45">
      <c r="K400">
        <v>8288.5388706745434</v>
      </c>
    </row>
    <row r="401" spans="11:11" x14ac:dyDescent="0.45">
      <c r="K401">
        <v>10127.550021354871</v>
      </c>
    </row>
    <row r="402" spans="11:11" x14ac:dyDescent="0.45">
      <c r="K402">
        <v>8913.250094306115</v>
      </c>
    </row>
    <row r="403" spans="11:11" x14ac:dyDescent="0.45">
      <c r="K403">
        <v>12517.737966025081</v>
      </c>
    </row>
    <row r="404" spans="11:11" x14ac:dyDescent="0.45">
      <c r="K404">
        <v>9818.8532370235444</v>
      </c>
    </row>
    <row r="405" spans="11:11" x14ac:dyDescent="0.45">
      <c r="K405">
        <v>6384.9570036426267</v>
      </c>
    </row>
    <row r="406" spans="11:11" x14ac:dyDescent="0.45">
      <c r="K406">
        <v>7130.5403972736458</v>
      </c>
    </row>
    <row r="407" spans="11:11" x14ac:dyDescent="0.45">
      <c r="K407">
        <v>9805.4079477322211</v>
      </c>
    </row>
    <row r="408" spans="11:11" x14ac:dyDescent="0.45">
      <c r="K408">
        <v>8981.5968345172387</v>
      </c>
    </row>
    <row r="409" spans="11:11" x14ac:dyDescent="0.45">
      <c r="K409">
        <v>9533.5603802044971</v>
      </c>
    </row>
    <row r="410" spans="11:11" x14ac:dyDescent="0.45">
      <c r="K410">
        <v>13512.993341634454</v>
      </c>
    </row>
    <row r="411" spans="11:11" x14ac:dyDescent="0.45">
      <c r="K411">
        <v>13604.382297227752</v>
      </c>
    </row>
    <row r="412" spans="11:11" x14ac:dyDescent="0.45">
      <c r="K412">
        <v>4771.6033010377805</v>
      </c>
    </row>
    <row r="413" spans="11:11" x14ac:dyDescent="0.45">
      <c r="K413">
        <v>10885.278807361683</v>
      </c>
    </row>
    <row r="414" spans="11:11" x14ac:dyDescent="0.45">
      <c r="K414">
        <v>13082.365905896213</v>
      </c>
    </row>
    <row r="415" spans="11:11" x14ac:dyDescent="0.45">
      <c r="K415">
        <v>11663.243847385374</v>
      </c>
    </row>
    <row r="416" spans="11:11" x14ac:dyDescent="0.45">
      <c r="K416">
        <v>9416.8866921455246</v>
      </c>
    </row>
    <row r="417" spans="11:11" x14ac:dyDescent="0.45">
      <c r="K417">
        <v>9797.1354059518781</v>
      </c>
    </row>
    <row r="418" spans="11:11" x14ac:dyDescent="0.45">
      <c r="K418">
        <v>12585.026464239358</v>
      </c>
    </row>
    <row r="419" spans="11:11" x14ac:dyDescent="0.45">
      <c r="K419">
        <v>5308.3558372638408</v>
      </c>
    </row>
    <row r="420" spans="11:11" x14ac:dyDescent="0.45">
      <c r="K420">
        <v>8603.6987843506704</v>
      </c>
    </row>
    <row r="421" spans="11:11" x14ac:dyDescent="0.45">
      <c r="K421">
        <v>8060.4745434360702</v>
      </c>
    </row>
    <row r="422" spans="11:11" x14ac:dyDescent="0.45">
      <c r="K422">
        <v>9271.8735439320699</v>
      </c>
    </row>
    <row r="423" spans="11:11" x14ac:dyDescent="0.45">
      <c r="K423">
        <v>9981.5740257684756</v>
      </c>
    </row>
    <row r="424" spans="11:11" x14ac:dyDescent="0.45">
      <c r="K424">
        <v>10455.366784926102</v>
      </c>
    </row>
    <row r="425" spans="11:11" x14ac:dyDescent="0.45">
      <c r="K425">
        <v>7046.7769757053393</v>
      </c>
    </row>
    <row r="426" spans="11:11" x14ac:dyDescent="0.45">
      <c r="K426">
        <v>8169.2481145868751</v>
      </c>
    </row>
    <row r="427" spans="11:11" x14ac:dyDescent="0.45">
      <c r="K427">
        <v>9926.6301857502804</v>
      </c>
    </row>
    <row r="428" spans="11:11" x14ac:dyDescent="0.45">
      <c r="K428">
        <v>7805.8050714766114</v>
      </c>
    </row>
    <row r="429" spans="11:11" x14ac:dyDescent="0.45">
      <c r="K429">
        <v>8704.5724733745355</v>
      </c>
    </row>
    <row r="430" spans="11:11" x14ac:dyDescent="0.45">
      <c r="K430">
        <v>7289.4297604717531</v>
      </c>
    </row>
    <row r="431" spans="11:11" x14ac:dyDescent="0.45">
      <c r="K431">
        <v>11325.066329688956</v>
      </c>
    </row>
    <row r="432" spans="11:11" x14ac:dyDescent="0.45">
      <c r="K432">
        <v>6108.8804592559463</v>
      </c>
    </row>
    <row r="433" spans="11:11" x14ac:dyDescent="0.45">
      <c r="K433">
        <v>11753.389129223553</v>
      </c>
    </row>
    <row r="434" spans="11:11" x14ac:dyDescent="0.45">
      <c r="K434">
        <v>7090.907865408486</v>
      </c>
    </row>
    <row r="435" spans="11:11" x14ac:dyDescent="0.45">
      <c r="K435">
        <v>10701.393468536471</v>
      </c>
    </row>
    <row r="436" spans="11:11" x14ac:dyDescent="0.45">
      <c r="K436">
        <v>10795.577983527863</v>
      </c>
    </row>
    <row r="437" spans="11:11" x14ac:dyDescent="0.45">
      <c r="K437">
        <v>6679.3060586918582</v>
      </c>
    </row>
    <row r="438" spans="11:11" x14ac:dyDescent="0.45">
      <c r="K438">
        <v>7791.2368728909114</v>
      </c>
    </row>
    <row r="439" spans="11:11" x14ac:dyDescent="0.45">
      <c r="K439">
        <v>8414.8945512486061</v>
      </c>
    </row>
    <row r="440" spans="11:11" x14ac:dyDescent="0.45">
      <c r="K440">
        <v>7743.0149880063473</v>
      </c>
    </row>
    <row r="441" spans="11:11" x14ac:dyDescent="0.45">
      <c r="K441">
        <v>8842.3555164555328</v>
      </c>
    </row>
    <row r="442" spans="11:11" x14ac:dyDescent="0.45">
      <c r="K442">
        <v>9432.3828161395049</v>
      </c>
    </row>
    <row r="443" spans="11:11" x14ac:dyDescent="0.45">
      <c r="K443">
        <v>9213.4655995344619</v>
      </c>
    </row>
    <row r="444" spans="11:11" x14ac:dyDescent="0.45">
      <c r="K444">
        <v>6935.2921309578078</v>
      </c>
    </row>
    <row r="445" spans="11:11" x14ac:dyDescent="0.45">
      <c r="K445">
        <v>8884.3356515600335</v>
      </c>
    </row>
    <row r="446" spans="11:11" x14ac:dyDescent="0.45">
      <c r="K446">
        <v>13450.86532250977</v>
      </c>
    </row>
    <row r="447" spans="11:11" x14ac:dyDescent="0.45">
      <c r="K447">
        <v>5261.6772913651885</v>
      </c>
    </row>
    <row r="448" spans="11:11" x14ac:dyDescent="0.45">
      <c r="K448">
        <v>9796.6855279885021</v>
      </c>
    </row>
    <row r="449" spans="11:11" x14ac:dyDescent="0.45">
      <c r="K449">
        <v>5393.6045162875134</v>
      </c>
    </row>
    <row r="450" spans="11:11" x14ac:dyDescent="0.45">
      <c r="K450">
        <v>12252.896611536282</v>
      </c>
    </row>
    <row r="451" spans="11:11" x14ac:dyDescent="0.45">
      <c r="K451">
        <v>6474.8957318846878</v>
      </c>
    </row>
    <row r="452" spans="11:11" x14ac:dyDescent="0.45">
      <c r="K452">
        <v>8464.2208806122981</v>
      </c>
    </row>
    <row r="453" spans="11:11" x14ac:dyDescent="0.45">
      <c r="K453">
        <v>13342.806735630125</v>
      </c>
    </row>
    <row r="454" spans="11:11" x14ac:dyDescent="0.45">
      <c r="K454">
        <v>9938.8813115313133</v>
      </c>
    </row>
    <row r="455" spans="11:11" x14ac:dyDescent="0.45">
      <c r="K455">
        <v>13024.238465558294</v>
      </c>
    </row>
    <row r="456" spans="11:11" x14ac:dyDescent="0.45">
      <c r="K456">
        <v>11108.190461397415</v>
      </c>
    </row>
    <row r="457" spans="11:11" x14ac:dyDescent="0.45">
      <c r="K457">
        <v>9952.5496112623987</v>
      </c>
    </row>
    <row r="458" spans="11:11" x14ac:dyDescent="0.45">
      <c r="K458">
        <v>8770.7307708224871</v>
      </c>
    </row>
    <row r="459" spans="11:11" x14ac:dyDescent="0.45">
      <c r="K459">
        <v>7918.7651441080016</v>
      </c>
    </row>
    <row r="460" spans="11:11" x14ac:dyDescent="0.45">
      <c r="K460">
        <v>8567.1750721734534</v>
      </c>
    </row>
    <row r="461" spans="11:11" x14ac:dyDescent="0.45">
      <c r="K461">
        <v>7293.1552138650113</v>
      </c>
    </row>
    <row r="462" spans="11:11" x14ac:dyDescent="0.45">
      <c r="K462">
        <v>7885.7130552773478</v>
      </c>
    </row>
    <row r="463" spans="11:11" x14ac:dyDescent="0.45">
      <c r="K463">
        <v>5288.4195307276632</v>
      </c>
    </row>
    <row r="464" spans="11:11" x14ac:dyDescent="0.45">
      <c r="K464">
        <v>10212.711011996951</v>
      </c>
    </row>
    <row r="465" spans="11:11" x14ac:dyDescent="0.45">
      <c r="K465">
        <v>8656.4629303487454</v>
      </c>
    </row>
    <row r="466" spans="11:11" x14ac:dyDescent="0.45">
      <c r="K466">
        <v>8471.3461056949636</v>
      </c>
    </row>
    <row r="467" spans="11:11" x14ac:dyDescent="0.45">
      <c r="K467">
        <v>12627.720400964123</v>
      </c>
    </row>
    <row r="468" spans="11:11" x14ac:dyDescent="0.45">
      <c r="K468">
        <v>11253.844103965421</v>
      </c>
    </row>
    <row r="469" spans="11:11" x14ac:dyDescent="0.45">
      <c r="K469">
        <v>10458.281052180033</v>
      </c>
    </row>
    <row r="470" spans="11:11" x14ac:dyDescent="0.45">
      <c r="K470">
        <v>8413.7322822469378</v>
      </c>
    </row>
    <row r="471" spans="11:11" x14ac:dyDescent="0.45">
      <c r="K471">
        <v>11549.518553446087</v>
      </c>
    </row>
    <row r="472" spans="11:11" x14ac:dyDescent="0.45">
      <c r="K472">
        <v>9057.890553344856</v>
      </c>
    </row>
    <row r="473" spans="11:11" x14ac:dyDescent="0.45">
      <c r="K473">
        <v>7587.6231770369386</v>
      </c>
    </row>
    <row r="474" spans="11:11" x14ac:dyDescent="0.45">
      <c r="K474">
        <v>5863.5282368165199</v>
      </c>
    </row>
    <row r="475" spans="11:11" x14ac:dyDescent="0.45">
      <c r="K475">
        <v>7928.0625348952763</v>
      </c>
    </row>
    <row r="476" spans="11:11" x14ac:dyDescent="0.45">
      <c r="K476">
        <v>8316.6382203553549</v>
      </c>
    </row>
    <row r="477" spans="11:11" x14ac:dyDescent="0.45">
      <c r="K477">
        <v>11045.632590201978</v>
      </c>
    </row>
    <row r="478" spans="11:11" x14ac:dyDescent="0.45">
      <c r="K478">
        <v>9883.5846968288442</v>
      </c>
    </row>
    <row r="479" spans="11:11" x14ac:dyDescent="0.45">
      <c r="K479">
        <v>14256.382019509325</v>
      </c>
    </row>
    <row r="480" spans="11:11" x14ac:dyDescent="0.45">
      <c r="K480">
        <v>6561.8512731655956</v>
      </c>
    </row>
    <row r="481" spans="11:11" x14ac:dyDescent="0.45">
      <c r="K481">
        <v>11094.711417776052</v>
      </c>
    </row>
    <row r="482" spans="11:11" x14ac:dyDescent="0.45">
      <c r="K482">
        <v>8992.0672334001811</v>
      </c>
    </row>
    <row r="483" spans="11:11" x14ac:dyDescent="0.45">
      <c r="K483">
        <v>8170.3768441308548</v>
      </c>
    </row>
    <row r="484" spans="11:11" x14ac:dyDescent="0.45">
      <c r="K484">
        <v>9338.1719291406935</v>
      </c>
    </row>
    <row r="485" spans="11:11" x14ac:dyDescent="0.45">
      <c r="K485">
        <v>6535.1388498938504</v>
      </c>
    </row>
    <row r="486" spans="11:11" x14ac:dyDescent="0.45">
      <c r="K486">
        <v>8165.8388991322227</v>
      </c>
    </row>
    <row r="487" spans="11:11" x14ac:dyDescent="0.45">
      <c r="K487">
        <v>11423.552630507462</v>
      </c>
    </row>
    <row r="488" spans="11:11" x14ac:dyDescent="0.45">
      <c r="K488">
        <v>7545.5191189937868</v>
      </c>
    </row>
    <row r="489" spans="11:11" x14ac:dyDescent="0.45">
      <c r="K489">
        <v>11663.717216029767</v>
      </c>
    </row>
    <row r="490" spans="11:11" x14ac:dyDescent="0.45">
      <c r="K490">
        <v>8272.0839156405109</v>
      </c>
    </row>
    <row r="491" spans="11:11" x14ac:dyDescent="0.45">
      <c r="K491">
        <v>13480.254162537603</v>
      </c>
    </row>
    <row r="492" spans="11:11" x14ac:dyDescent="0.45">
      <c r="K492">
        <v>10336.449259867186</v>
      </c>
    </row>
    <row r="493" spans="11:11" x14ac:dyDescent="0.45">
      <c r="K493">
        <v>8507.776045447772</v>
      </c>
    </row>
    <row r="494" spans="11:11" x14ac:dyDescent="0.45">
      <c r="K494">
        <v>8140.0046347035432</v>
      </c>
    </row>
    <row r="495" spans="11:11" x14ac:dyDescent="0.45">
      <c r="K495">
        <v>7428.888573318347</v>
      </c>
    </row>
    <row r="496" spans="11:11" x14ac:dyDescent="0.45">
      <c r="K496">
        <v>8286.6014962277859</v>
      </c>
    </row>
    <row r="497" spans="11:11" x14ac:dyDescent="0.45">
      <c r="K497">
        <v>10655.116831841737</v>
      </c>
    </row>
    <row r="498" spans="11:11" x14ac:dyDescent="0.45">
      <c r="K498">
        <v>8219.8284294002533</v>
      </c>
    </row>
    <row r="499" spans="11:11" x14ac:dyDescent="0.45">
      <c r="K499">
        <v>12649.774119931641</v>
      </c>
    </row>
    <row r="500" spans="11:11" x14ac:dyDescent="0.45">
      <c r="K500">
        <v>7035.8558366776469</v>
      </c>
    </row>
    <row r="501" spans="11:11" x14ac:dyDescent="0.45">
      <c r="K501">
        <v>9623.0230566442533</v>
      </c>
    </row>
    <row r="502" spans="11:11" x14ac:dyDescent="0.45">
      <c r="K502">
        <v>8043.1377633737602</v>
      </c>
    </row>
    <row r="503" spans="11:11" x14ac:dyDescent="0.45">
      <c r="K503">
        <v>12817.037175991789</v>
      </c>
    </row>
    <row r="504" spans="11:11" x14ac:dyDescent="0.45">
      <c r="K504">
        <v>11108.105836438328</v>
      </c>
    </row>
    <row r="505" spans="11:11" x14ac:dyDescent="0.45">
      <c r="K505">
        <v>7840.4117468197219</v>
      </c>
    </row>
    <row r="506" spans="11:11" x14ac:dyDescent="0.45">
      <c r="K506">
        <v>7834.5362621547392</v>
      </c>
    </row>
    <row r="507" spans="11:11" x14ac:dyDescent="0.45">
      <c r="K507">
        <v>9878.2057946154728</v>
      </c>
    </row>
    <row r="508" spans="11:11" x14ac:dyDescent="0.45">
      <c r="K508">
        <v>6783.5328006981135</v>
      </c>
    </row>
    <row r="509" spans="11:11" x14ac:dyDescent="0.45">
      <c r="K509">
        <v>7632.0054328022488</v>
      </c>
    </row>
    <row r="510" spans="11:11" x14ac:dyDescent="0.45">
      <c r="K510">
        <v>5239.9037261484336</v>
      </c>
    </row>
    <row r="511" spans="11:11" x14ac:dyDescent="0.45">
      <c r="K511">
        <v>8097.7491978514645</v>
      </c>
    </row>
    <row r="512" spans="11:11" x14ac:dyDescent="0.45">
      <c r="K512">
        <v>9983.0836461107028</v>
      </c>
    </row>
    <row r="513" spans="11:11" x14ac:dyDescent="0.45">
      <c r="K513">
        <v>9074.383381851947</v>
      </c>
    </row>
    <row r="514" spans="11:11" x14ac:dyDescent="0.45">
      <c r="K514">
        <v>9085.4541095503537</v>
      </c>
    </row>
    <row r="515" spans="11:11" x14ac:dyDescent="0.45">
      <c r="K515">
        <v>11074.024538281334</v>
      </c>
    </row>
    <row r="516" spans="11:11" x14ac:dyDescent="0.45">
      <c r="K516">
        <v>6617.2242203819087</v>
      </c>
    </row>
    <row r="517" spans="11:11" x14ac:dyDescent="0.45">
      <c r="K517">
        <v>8546.3011458548553</v>
      </c>
    </row>
    <row r="518" spans="11:11" x14ac:dyDescent="0.45">
      <c r="K518">
        <v>12157.123294603693</v>
      </c>
    </row>
    <row r="519" spans="11:11" x14ac:dyDescent="0.45">
      <c r="K519">
        <v>8980.8326083587453</v>
      </c>
    </row>
    <row r="520" spans="11:11" x14ac:dyDescent="0.45">
      <c r="K520">
        <v>13131.950652679241</v>
      </c>
    </row>
    <row r="521" spans="11:11" x14ac:dyDescent="0.45">
      <c r="K521">
        <v>10630.230104571525</v>
      </c>
    </row>
    <row r="522" spans="11:11" x14ac:dyDescent="0.45">
      <c r="K522">
        <v>11007.409508611699</v>
      </c>
    </row>
    <row r="523" spans="11:11" x14ac:dyDescent="0.45">
      <c r="K523">
        <v>9960.3999702548972</v>
      </c>
    </row>
    <row r="524" spans="11:11" x14ac:dyDescent="0.45">
      <c r="K524">
        <v>4956.3011082215162</v>
      </c>
    </row>
    <row r="525" spans="11:11" x14ac:dyDescent="0.45">
      <c r="K525">
        <v>12151.804740466661</v>
      </c>
    </row>
    <row r="526" spans="11:11" x14ac:dyDescent="0.45">
      <c r="K526">
        <v>4736.2598778251922</v>
      </c>
    </row>
    <row r="527" spans="11:11" x14ac:dyDescent="0.45">
      <c r="K527">
        <v>10405.173413261549</v>
      </c>
    </row>
    <row r="528" spans="11:11" x14ac:dyDescent="0.45">
      <c r="K528">
        <v>8440.3696109620214</v>
      </c>
    </row>
    <row r="529" spans="11:11" x14ac:dyDescent="0.45">
      <c r="K529">
        <v>8982.3520383026753</v>
      </c>
    </row>
    <row r="530" spans="11:11" x14ac:dyDescent="0.45">
      <c r="K530">
        <v>12157.632288799407</v>
      </c>
    </row>
    <row r="531" spans="11:11" x14ac:dyDescent="0.45">
      <c r="K531">
        <v>11875.293937116294</v>
      </c>
    </row>
    <row r="532" spans="11:11" x14ac:dyDescent="0.45">
      <c r="K532">
        <v>8692.1750377872177</v>
      </c>
    </row>
    <row r="533" spans="11:11" x14ac:dyDescent="0.45">
      <c r="K533">
        <v>5536.3265496620797</v>
      </c>
    </row>
    <row r="534" spans="11:11" x14ac:dyDescent="0.45">
      <c r="K534">
        <v>8879.204114168424</v>
      </c>
    </row>
    <row r="535" spans="11:11" x14ac:dyDescent="0.45">
      <c r="K535">
        <v>11270.551663345079</v>
      </c>
    </row>
    <row r="536" spans="11:11" x14ac:dyDescent="0.45">
      <c r="K536">
        <v>10294.239379189545</v>
      </c>
    </row>
    <row r="537" spans="11:11" x14ac:dyDescent="0.45">
      <c r="K537">
        <v>11845.410188911694</v>
      </c>
    </row>
    <row r="538" spans="11:11" x14ac:dyDescent="0.45">
      <c r="K538">
        <v>7704.0205063244821</v>
      </c>
    </row>
    <row r="539" spans="11:11" x14ac:dyDescent="0.45">
      <c r="K539">
        <v>9330.8992449921352</v>
      </c>
    </row>
    <row r="540" spans="11:11" x14ac:dyDescent="0.45">
      <c r="K540">
        <v>12350.849509068736</v>
      </c>
    </row>
    <row r="541" spans="11:11" x14ac:dyDescent="0.45">
      <c r="K541">
        <v>8555.9090305754271</v>
      </c>
    </row>
    <row r="542" spans="11:11" x14ac:dyDescent="0.45">
      <c r="K542">
        <v>8173.4328610754183</v>
      </c>
    </row>
    <row r="543" spans="11:11" x14ac:dyDescent="0.45">
      <c r="K543">
        <v>10716.125656178436</v>
      </c>
    </row>
    <row r="544" spans="11:11" x14ac:dyDescent="0.45">
      <c r="K544">
        <v>10417.55755528476</v>
      </c>
    </row>
    <row r="545" spans="11:11" x14ac:dyDescent="0.45">
      <c r="K545">
        <v>13785.29750058118</v>
      </c>
    </row>
    <row r="546" spans="11:11" x14ac:dyDescent="0.45">
      <c r="K546">
        <v>9066.0048124642981</v>
      </c>
    </row>
    <row r="547" spans="11:11" x14ac:dyDescent="0.45">
      <c r="K547">
        <v>8865.4577922712979</v>
      </c>
    </row>
    <row r="548" spans="11:11" x14ac:dyDescent="0.45">
      <c r="K548">
        <v>3903.6236723078828</v>
      </c>
    </row>
    <row r="549" spans="11:11" x14ac:dyDescent="0.45">
      <c r="K549">
        <v>7904.0332238701258</v>
      </c>
    </row>
    <row r="550" spans="11:11" x14ac:dyDescent="0.45">
      <c r="K550">
        <v>13930.527932307481</v>
      </c>
    </row>
    <row r="551" spans="11:11" x14ac:dyDescent="0.45">
      <c r="K551">
        <v>5643.2669904799204</v>
      </c>
    </row>
    <row r="552" spans="11:11" x14ac:dyDescent="0.45">
      <c r="K552">
        <v>14637.943986944505</v>
      </c>
    </row>
    <row r="553" spans="11:11" x14ac:dyDescent="0.45">
      <c r="K553">
        <v>11566.352668490488</v>
      </c>
    </row>
    <row r="554" spans="11:11" x14ac:dyDescent="0.45">
      <c r="K554">
        <v>13468.434248570935</v>
      </c>
    </row>
    <row r="555" spans="11:11" x14ac:dyDescent="0.45">
      <c r="K555">
        <v>8290.237767997698</v>
      </c>
    </row>
    <row r="556" spans="11:11" x14ac:dyDescent="0.45">
      <c r="K556">
        <v>12172.682543719395</v>
      </c>
    </row>
    <row r="557" spans="11:11" x14ac:dyDescent="0.45">
      <c r="K557">
        <v>9549.3585879828752</v>
      </c>
    </row>
    <row r="558" spans="11:11" x14ac:dyDescent="0.45">
      <c r="K558">
        <v>9949.9186185687213</v>
      </c>
    </row>
    <row r="559" spans="11:11" x14ac:dyDescent="0.45">
      <c r="K559">
        <v>7600.20249045939</v>
      </c>
    </row>
    <row r="560" spans="11:11" x14ac:dyDescent="0.45">
      <c r="K560">
        <v>12143.102297698075</v>
      </c>
    </row>
    <row r="561" spans="11:11" x14ac:dyDescent="0.45">
      <c r="K561">
        <v>9189.2966630012179</v>
      </c>
    </row>
    <row r="562" spans="11:11" x14ac:dyDescent="0.45">
      <c r="K562">
        <v>11184.460288553764</v>
      </c>
    </row>
    <row r="563" spans="11:11" x14ac:dyDescent="0.45">
      <c r="K563">
        <v>11706.058188592709</v>
      </c>
    </row>
    <row r="564" spans="11:11" x14ac:dyDescent="0.45">
      <c r="K564">
        <v>6289.496184804937</v>
      </c>
    </row>
    <row r="565" spans="11:11" x14ac:dyDescent="0.45">
      <c r="K565">
        <v>10363.632061681597</v>
      </c>
    </row>
    <row r="566" spans="11:11" x14ac:dyDescent="0.45">
      <c r="K566">
        <v>9565.1750718086805</v>
      </c>
    </row>
    <row r="567" spans="11:11" x14ac:dyDescent="0.45">
      <c r="K567">
        <v>9117.6272969178845</v>
      </c>
    </row>
    <row r="568" spans="11:11" x14ac:dyDescent="0.45">
      <c r="K568">
        <v>9272.136234049518</v>
      </c>
    </row>
    <row r="569" spans="11:11" x14ac:dyDescent="0.45">
      <c r="K569">
        <v>10063.39391960745</v>
      </c>
    </row>
    <row r="570" spans="11:11" x14ac:dyDescent="0.45">
      <c r="K570">
        <v>6390.3213088212324</v>
      </c>
    </row>
    <row r="571" spans="11:11" x14ac:dyDescent="0.45">
      <c r="K571">
        <v>12962.488587932254</v>
      </c>
    </row>
    <row r="572" spans="11:11" x14ac:dyDescent="0.45">
      <c r="K572">
        <v>12062.407822593968</v>
      </c>
    </row>
    <row r="573" spans="11:11" x14ac:dyDescent="0.45">
      <c r="K573">
        <v>8778.039499830631</v>
      </c>
    </row>
    <row r="574" spans="11:11" x14ac:dyDescent="0.45">
      <c r="K574">
        <v>8526.4812086225957</v>
      </c>
    </row>
    <row r="575" spans="11:11" x14ac:dyDescent="0.45">
      <c r="K575">
        <v>9846.8174030260998</v>
      </c>
    </row>
    <row r="576" spans="11:11" x14ac:dyDescent="0.45">
      <c r="K576">
        <v>8689.2334245652564</v>
      </c>
    </row>
    <row r="577" spans="11:11" x14ac:dyDescent="0.45">
      <c r="K577">
        <v>7234.8254287916334</v>
      </c>
    </row>
    <row r="578" spans="11:11" x14ac:dyDescent="0.45">
      <c r="K578">
        <v>10330.94251953917</v>
      </c>
    </row>
    <row r="579" spans="11:11" x14ac:dyDescent="0.45">
      <c r="K579">
        <v>7503.2922801433933</v>
      </c>
    </row>
    <row r="580" spans="11:11" x14ac:dyDescent="0.45">
      <c r="K580">
        <v>11730.72146301996</v>
      </c>
    </row>
    <row r="581" spans="11:11" x14ac:dyDescent="0.45">
      <c r="K581">
        <v>6421.1190235074027</v>
      </c>
    </row>
    <row r="582" spans="11:11" x14ac:dyDescent="0.45">
      <c r="K582">
        <v>12453.033833593523</v>
      </c>
    </row>
    <row r="583" spans="11:11" x14ac:dyDescent="0.45">
      <c r="K583">
        <v>6834.8880744603493</v>
      </c>
    </row>
    <row r="584" spans="11:11" x14ac:dyDescent="0.45">
      <c r="K584">
        <v>8753.6487513302345</v>
      </c>
    </row>
    <row r="585" spans="11:11" x14ac:dyDescent="0.45">
      <c r="K585">
        <v>13330.175498411769</v>
      </c>
    </row>
    <row r="586" spans="11:11" x14ac:dyDescent="0.45">
      <c r="K586">
        <v>8649.6375557148058</v>
      </c>
    </row>
    <row r="587" spans="11:11" x14ac:dyDescent="0.45">
      <c r="K587">
        <v>10965.163761244588</v>
      </c>
    </row>
    <row r="588" spans="11:11" x14ac:dyDescent="0.45">
      <c r="K588">
        <v>11583.643150364183</v>
      </c>
    </row>
    <row r="589" spans="11:11" x14ac:dyDescent="0.45">
      <c r="K589">
        <v>9667.7410790669637</v>
      </c>
    </row>
    <row r="590" spans="11:11" x14ac:dyDescent="0.45">
      <c r="K590">
        <v>9619.6996575660523</v>
      </c>
    </row>
    <row r="591" spans="11:11" x14ac:dyDescent="0.45">
      <c r="K591">
        <v>10349.296012137202</v>
      </c>
    </row>
    <row r="592" spans="11:11" x14ac:dyDescent="0.45">
      <c r="K592">
        <v>10858.899335211983</v>
      </c>
    </row>
    <row r="593" spans="11:11" x14ac:dyDescent="0.45">
      <c r="K593">
        <v>14852.089486512446</v>
      </c>
    </row>
    <row r="594" spans="11:11" x14ac:dyDescent="0.45">
      <c r="K594">
        <v>7945.5249857083945</v>
      </c>
    </row>
    <row r="595" spans="11:11" x14ac:dyDescent="0.45">
      <c r="K595">
        <v>408.25348889459383</v>
      </c>
    </row>
    <row r="596" spans="11:11" x14ac:dyDescent="0.45">
      <c r="K596">
        <v>8907.6403415103541</v>
      </c>
    </row>
    <row r="597" spans="11:11" x14ac:dyDescent="0.45">
      <c r="K597">
        <v>13595.176120100734</v>
      </c>
    </row>
    <row r="598" spans="11:11" x14ac:dyDescent="0.45">
      <c r="K598">
        <v>10799.997086386364</v>
      </c>
    </row>
    <row r="599" spans="11:11" x14ac:dyDescent="0.45">
      <c r="K599">
        <v>7643.1179136257242</v>
      </c>
    </row>
    <row r="600" spans="11:11" x14ac:dyDescent="0.45">
      <c r="K600">
        <v>10064.028919375587</v>
      </c>
    </row>
    <row r="601" spans="11:11" x14ac:dyDescent="0.45">
      <c r="K601">
        <v>9805.871470035745</v>
      </c>
    </row>
    <row r="602" spans="11:11" x14ac:dyDescent="0.45">
      <c r="K602">
        <v>6610.2736275313218</v>
      </c>
    </row>
    <row r="603" spans="11:11" x14ac:dyDescent="0.45">
      <c r="K603">
        <v>10564.171080459515</v>
      </c>
    </row>
    <row r="604" spans="11:11" x14ac:dyDescent="0.45">
      <c r="K604">
        <v>8802.2463952153976</v>
      </c>
    </row>
    <row r="605" spans="11:11" x14ac:dyDescent="0.45">
      <c r="K605">
        <v>4319.61287313716</v>
      </c>
    </row>
    <row r="606" spans="11:11" x14ac:dyDescent="0.45">
      <c r="K606">
        <v>11851.260882420745</v>
      </c>
    </row>
    <row r="607" spans="11:11" x14ac:dyDescent="0.45">
      <c r="K607">
        <v>14139.306649479586</v>
      </c>
    </row>
    <row r="608" spans="11:11" x14ac:dyDescent="0.45">
      <c r="K608">
        <v>12042.261260574378</v>
      </c>
    </row>
    <row r="609" spans="11:11" x14ac:dyDescent="0.45">
      <c r="K609">
        <v>6092.3522045955742</v>
      </c>
    </row>
    <row r="610" spans="11:11" x14ac:dyDescent="0.45">
      <c r="K610">
        <v>8811.9721427453042</v>
      </c>
    </row>
    <row r="611" spans="11:11" x14ac:dyDescent="0.45">
      <c r="K611">
        <v>8845.0902577041452</v>
      </c>
    </row>
    <row r="612" spans="11:11" x14ac:dyDescent="0.45">
      <c r="K612">
        <v>8704.2545878793062</v>
      </c>
    </row>
    <row r="613" spans="11:11" x14ac:dyDescent="0.45">
      <c r="K613">
        <v>8538.0880591810273</v>
      </c>
    </row>
    <row r="614" spans="11:11" x14ac:dyDescent="0.45">
      <c r="K614">
        <v>12033.319929569368</v>
      </c>
    </row>
    <row r="615" spans="11:11" x14ac:dyDescent="0.45">
      <c r="K615">
        <v>10430.008319964221</v>
      </c>
    </row>
    <row r="616" spans="11:11" x14ac:dyDescent="0.45">
      <c r="K616">
        <v>13299.547687522328</v>
      </c>
    </row>
    <row r="617" spans="11:11" x14ac:dyDescent="0.45">
      <c r="K617">
        <v>8889.5312233487766</v>
      </c>
    </row>
    <row r="618" spans="11:11" x14ac:dyDescent="0.45">
      <c r="K618">
        <v>11702.853741972023</v>
      </c>
    </row>
    <row r="619" spans="11:11" x14ac:dyDescent="0.45">
      <c r="K619">
        <v>6919.8931100632453</v>
      </c>
    </row>
    <row r="620" spans="11:11" x14ac:dyDescent="0.45">
      <c r="K620">
        <v>8888.3368538974846</v>
      </c>
    </row>
    <row r="621" spans="11:11" x14ac:dyDescent="0.45">
      <c r="K621">
        <v>5600.2862331389142</v>
      </c>
    </row>
    <row r="622" spans="11:11" x14ac:dyDescent="0.45">
      <c r="K622">
        <v>10940.426219970266</v>
      </c>
    </row>
    <row r="623" spans="11:11" x14ac:dyDescent="0.45">
      <c r="K623">
        <v>8915.3331280994698</v>
      </c>
    </row>
    <row r="624" spans="11:11" x14ac:dyDescent="0.45">
      <c r="K624">
        <v>5040.3796601116455</v>
      </c>
    </row>
    <row r="625" spans="11:11" x14ac:dyDescent="0.45">
      <c r="K625">
        <v>11007.024623160243</v>
      </c>
    </row>
    <row r="626" spans="11:11" x14ac:dyDescent="0.45">
      <c r="K626">
        <v>7529.0896415812513</v>
      </c>
    </row>
    <row r="627" spans="11:11" x14ac:dyDescent="0.45">
      <c r="K627">
        <v>11118.799579467919</v>
      </c>
    </row>
    <row r="628" spans="11:11" x14ac:dyDescent="0.45">
      <c r="K628">
        <v>11029.752766277479</v>
      </c>
    </row>
    <row r="629" spans="11:11" x14ac:dyDescent="0.45">
      <c r="K629">
        <v>7336.0598744738081</v>
      </c>
    </row>
    <row r="630" spans="11:11" x14ac:dyDescent="0.45">
      <c r="K630">
        <v>13066.786693976599</v>
      </c>
    </row>
    <row r="631" spans="11:11" x14ac:dyDescent="0.45">
      <c r="K631">
        <v>7204.7217763385906</v>
      </c>
    </row>
    <row r="632" spans="11:11" x14ac:dyDescent="0.45">
      <c r="K632">
        <v>11359.660517824699</v>
      </c>
    </row>
    <row r="633" spans="11:11" x14ac:dyDescent="0.45">
      <c r="K633">
        <v>4030.0310357967101</v>
      </c>
    </row>
    <row r="634" spans="11:11" x14ac:dyDescent="0.45">
      <c r="K634">
        <v>10369.730254378317</v>
      </c>
    </row>
    <row r="635" spans="11:11" x14ac:dyDescent="0.45">
      <c r="K635">
        <v>8803.5134946887756</v>
      </c>
    </row>
    <row r="636" spans="11:11" x14ac:dyDescent="0.45">
      <c r="K636">
        <v>12286.015758446001</v>
      </c>
    </row>
    <row r="637" spans="11:11" x14ac:dyDescent="0.45">
      <c r="K637">
        <v>4510.0084235012673</v>
      </c>
    </row>
    <row r="638" spans="11:11" x14ac:dyDescent="0.45">
      <c r="K638">
        <v>7320.0969082952997</v>
      </c>
    </row>
    <row r="639" spans="11:11" x14ac:dyDescent="0.45">
      <c r="K639">
        <v>11047.341213667492</v>
      </c>
    </row>
    <row r="640" spans="11:11" x14ac:dyDescent="0.45">
      <c r="K640">
        <v>13163.2792584323</v>
      </c>
    </row>
    <row r="641" spans="11:11" x14ac:dyDescent="0.45">
      <c r="K641">
        <v>11558.871908386369</v>
      </c>
    </row>
    <row r="642" spans="11:11" x14ac:dyDescent="0.45">
      <c r="K642">
        <v>7832.5425862633556</v>
      </c>
    </row>
    <row r="643" spans="11:11" x14ac:dyDescent="0.45">
      <c r="K643">
        <v>11889.663903787308</v>
      </c>
    </row>
    <row r="644" spans="11:11" x14ac:dyDescent="0.45">
      <c r="K644">
        <v>11207.009620909796</v>
      </c>
    </row>
    <row r="645" spans="11:11" x14ac:dyDescent="0.45">
      <c r="K645">
        <v>12718.241385319683</v>
      </c>
    </row>
    <row r="646" spans="11:11" x14ac:dyDescent="0.45">
      <c r="K646">
        <v>13543.422682451812</v>
      </c>
    </row>
    <row r="647" spans="11:11" x14ac:dyDescent="0.45">
      <c r="K647">
        <v>7422.1863484385558</v>
      </c>
    </row>
    <row r="648" spans="11:11" x14ac:dyDescent="0.45">
      <c r="K648">
        <v>12338.814751247422</v>
      </c>
    </row>
    <row r="649" spans="11:11" x14ac:dyDescent="0.45">
      <c r="K649">
        <v>11644.575705203206</v>
      </c>
    </row>
    <row r="650" spans="11:11" x14ac:dyDescent="0.45">
      <c r="K650">
        <v>11421.054972685264</v>
      </c>
    </row>
    <row r="651" spans="11:11" x14ac:dyDescent="0.45">
      <c r="K651">
        <v>8824.6973111951665</v>
      </c>
    </row>
    <row r="652" spans="11:11" x14ac:dyDescent="0.45">
      <c r="K652">
        <v>8464.8135827547721</v>
      </c>
    </row>
    <row r="653" spans="11:11" x14ac:dyDescent="0.45">
      <c r="K653">
        <v>10184.525469212938</v>
      </c>
    </row>
    <row r="654" spans="11:11" x14ac:dyDescent="0.45">
      <c r="K654">
        <v>7784.1148598651607</v>
      </c>
    </row>
    <row r="655" spans="11:11" x14ac:dyDescent="0.45">
      <c r="K655">
        <v>6565.3088336464698</v>
      </c>
    </row>
    <row r="656" spans="11:11" x14ac:dyDescent="0.45">
      <c r="K656">
        <v>7359.8008380918236</v>
      </c>
    </row>
    <row r="657" spans="11:11" x14ac:dyDescent="0.45">
      <c r="K657">
        <v>9242.2119299611131</v>
      </c>
    </row>
    <row r="658" spans="11:11" x14ac:dyDescent="0.45">
      <c r="K658">
        <v>8044.2896921436859</v>
      </c>
    </row>
    <row r="659" spans="11:11" x14ac:dyDescent="0.45">
      <c r="K659">
        <v>9175.043486937655</v>
      </c>
    </row>
    <row r="660" spans="11:11" x14ac:dyDescent="0.45">
      <c r="K660">
        <v>3634.9431569658509</v>
      </c>
    </row>
    <row r="661" spans="11:11" x14ac:dyDescent="0.45">
      <c r="K661">
        <v>7613.700056415576</v>
      </c>
    </row>
    <row r="662" spans="11:11" x14ac:dyDescent="0.45">
      <c r="K662">
        <v>5615.2022762835604</v>
      </c>
    </row>
    <row r="663" spans="11:11" x14ac:dyDescent="0.45">
      <c r="K663">
        <v>7522.3547431272873</v>
      </c>
    </row>
    <row r="664" spans="11:11" x14ac:dyDescent="0.45">
      <c r="K664">
        <v>10383.881727279222</v>
      </c>
    </row>
    <row r="665" spans="11:11" x14ac:dyDescent="0.45">
      <c r="K665">
        <v>8823.1238721936461</v>
      </c>
    </row>
    <row r="666" spans="11:11" x14ac:dyDescent="0.45">
      <c r="K666">
        <v>7580.7157635763106</v>
      </c>
    </row>
    <row r="667" spans="11:11" x14ac:dyDescent="0.45">
      <c r="K667">
        <v>8678.9315325760926</v>
      </c>
    </row>
    <row r="668" spans="11:11" x14ac:dyDescent="0.45">
      <c r="K668">
        <v>5149.5386260580881</v>
      </c>
    </row>
    <row r="669" spans="11:11" x14ac:dyDescent="0.45">
      <c r="K669">
        <v>8691.1983111515838</v>
      </c>
    </row>
    <row r="670" spans="11:11" x14ac:dyDescent="0.45">
      <c r="K670">
        <v>7548.6792716997124</v>
      </c>
    </row>
    <row r="671" spans="11:11" x14ac:dyDescent="0.45">
      <c r="K671">
        <v>11099.248495971953</v>
      </c>
    </row>
    <row r="672" spans="11:11" x14ac:dyDescent="0.45">
      <c r="K672">
        <v>11899.078475515958</v>
      </c>
    </row>
    <row r="673" spans="11:11" x14ac:dyDescent="0.45">
      <c r="K673">
        <v>10274.311644680858</v>
      </c>
    </row>
    <row r="674" spans="11:11" x14ac:dyDescent="0.45">
      <c r="K674">
        <v>12288.145858498738</v>
      </c>
    </row>
    <row r="675" spans="11:11" x14ac:dyDescent="0.45">
      <c r="K675">
        <v>7311.810800104864</v>
      </c>
    </row>
    <row r="676" spans="11:11" x14ac:dyDescent="0.45">
      <c r="K676">
        <v>6592.0492710472117</v>
      </c>
    </row>
    <row r="677" spans="11:11" x14ac:dyDescent="0.45">
      <c r="K677">
        <v>10579.825481249769</v>
      </c>
    </row>
    <row r="678" spans="11:11" x14ac:dyDescent="0.45">
      <c r="K678">
        <v>7656.5295713532023</v>
      </c>
    </row>
    <row r="679" spans="11:11" x14ac:dyDescent="0.45">
      <c r="K679">
        <v>11487.420091315023</v>
      </c>
    </row>
    <row r="680" spans="11:11" x14ac:dyDescent="0.45">
      <c r="K680">
        <v>9616.0233304702379</v>
      </c>
    </row>
    <row r="681" spans="11:11" x14ac:dyDescent="0.45">
      <c r="K681">
        <v>5574.6216604718093</v>
      </c>
    </row>
    <row r="682" spans="11:11" x14ac:dyDescent="0.45">
      <c r="K682">
        <v>8819.7837948960951</v>
      </c>
    </row>
    <row r="683" spans="11:11" x14ac:dyDescent="0.45">
      <c r="K683">
        <v>10376.714853522959</v>
      </c>
    </row>
    <row r="684" spans="11:11" x14ac:dyDescent="0.45">
      <c r="K684">
        <v>10505.590816264341</v>
      </c>
    </row>
    <row r="685" spans="11:11" x14ac:dyDescent="0.45">
      <c r="K685">
        <v>13792.62644124006</v>
      </c>
    </row>
    <row r="686" spans="11:11" x14ac:dyDescent="0.45">
      <c r="K686">
        <v>7059.806862191761</v>
      </c>
    </row>
    <row r="687" spans="11:11" x14ac:dyDescent="0.45">
      <c r="K687">
        <v>9606.5444030306626</v>
      </c>
    </row>
    <row r="688" spans="11:11" x14ac:dyDescent="0.45">
      <c r="K688">
        <v>7837.9589745352405</v>
      </c>
    </row>
    <row r="689" spans="11:11" x14ac:dyDescent="0.45">
      <c r="K689">
        <v>9675.0084372718502</v>
      </c>
    </row>
    <row r="690" spans="11:11" x14ac:dyDescent="0.45">
      <c r="K690">
        <v>9174.7200821713541</v>
      </c>
    </row>
    <row r="691" spans="11:11" x14ac:dyDescent="0.45">
      <c r="K691">
        <v>9866.2785658117555</v>
      </c>
    </row>
    <row r="692" spans="11:11" x14ac:dyDescent="0.45">
      <c r="K692">
        <v>8147.635290203687</v>
      </c>
    </row>
    <row r="693" spans="11:11" x14ac:dyDescent="0.45">
      <c r="K693">
        <v>11473.232345248945</v>
      </c>
    </row>
    <row r="694" spans="11:11" x14ac:dyDescent="0.45">
      <c r="K694">
        <v>8504.6637445867254</v>
      </c>
    </row>
    <row r="695" spans="11:11" x14ac:dyDescent="0.45">
      <c r="K695">
        <v>16695.439228665964</v>
      </c>
    </row>
    <row r="696" spans="11:11" x14ac:dyDescent="0.45">
      <c r="K696">
        <v>13854.552237269818</v>
      </c>
    </row>
    <row r="697" spans="11:11" x14ac:dyDescent="0.45">
      <c r="K697">
        <v>9357.4331728010038</v>
      </c>
    </row>
    <row r="698" spans="11:11" x14ac:dyDescent="0.45">
      <c r="K698">
        <v>9101.1413906730722</v>
      </c>
    </row>
    <row r="699" spans="11:11" x14ac:dyDescent="0.45">
      <c r="K699">
        <v>7310.0418755734518</v>
      </c>
    </row>
    <row r="700" spans="11:11" x14ac:dyDescent="0.45">
      <c r="K700">
        <v>11240.929717143916</v>
      </c>
    </row>
    <row r="701" spans="11:11" x14ac:dyDescent="0.45">
      <c r="K701">
        <v>8645.4618015914948</v>
      </c>
    </row>
    <row r="702" spans="11:11" x14ac:dyDescent="0.45">
      <c r="K702">
        <v>10446.979506908043</v>
      </c>
    </row>
    <row r="703" spans="11:11" x14ac:dyDescent="0.45">
      <c r="K703">
        <v>9510.854652563894</v>
      </c>
    </row>
    <row r="704" spans="11:11" x14ac:dyDescent="0.45">
      <c r="K704">
        <v>10998.597877108448</v>
      </c>
    </row>
    <row r="705" spans="11:11" x14ac:dyDescent="0.45">
      <c r="K705">
        <v>11734.717328231041</v>
      </c>
    </row>
    <row r="706" spans="11:11" x14ac:dyDescent="0.45">
      <c r="K706">
        <v>12656.508809547948</v>
      </c>
    </row>
    <row r="707" spans="11:11" x14ac:dyDescent="0.45">
      <c r="K707">
        <v>10085.26558762017</v>
      </c>
    </row>
    <row r="708" spans="11:11" x14ac:dyDescent="0.45">
      <c r="K708">
        <v>9917.1247994536043</v>
      </c>
    </row>
    <row r="709" spans="11:11" x14ac:dyDescent="0.45">
      <c r="K709">
        <v>4396.3669219371068</v>
      </c>
    </row>
    <row r="710" spans="11:11" x14ac:dyDescent="0.45">
      <c r="K710">
        <v>10231.02284728063</v>
      </c>
    </row>
    <row r="711" spans="11:11" x14ac:dyDescent="0.45">
      <c r="K711">
        <v>6041.4501638165457</v>
      </c>
    </row>
    <row r="712" spans="11:11" x14ac:dyDescent="0.45">
      <c r="K712">
        <v>11355.462599846376</v>
      </c>
    </row>
    <row r="713" spans="11:11" x14ac:dyDescent="0.45">
      <c r="K713">
        <v>7112.5936072887998</v>
      </c>
    </row>
    <row r="714" spans="11:11" x14ac:dyDescent="0.45">
      <c r="K714">
        <v>6491.5213837423807</v>
      </c>
    </row>
    <row r="715" spans="11:11" x14ac:dyDescent="0.45">
      <c r="K715">
        <v>7056.3276891531241</v>
      </c>
    </row>
    <row r="716" spans="11:11" x14ac:dyDescent="0.45">
      <c r="K716">
        <v>13731.250415758246</v>
      </c>
    </row>
    <row r="717" spans="11:11" x14ac:dyDescent="0.45">
      <c r="K717">
        <v>7035.6723540335588</v>
      </c>
    </row>
    <row r="718" spans="11:11" x14ac:dyDescent="0.45">
      <c r="K718">
        <v>11212.065689812749</v>
      </c>
    </row>
    <row r="719" spans="11:11" x14ac:dyDescent="0.45">
      <c r="K719">
        <v>7143.7449348127266</v>
      </c>
    </row>
    <row r="720" spans="11:11" x14ac:dyDescent="0.45">
      <c r="K720">
        <v>7240.6793969249748</v>
      </c>
    </row>
    <row r="721" spans="11:11" x14ac:dyDescent="0.45">
      <c r="K721">
        <v>11204.04402926175</v>
      </c>
    </row>
    <row r="722" spans="11:11" x14ac:dyDescent="0.45">
      <c r="K722">
        <v>5569.9267104261307</v>
      </c>
    </row>
    <row r="723" spans="11:11" x14ac:dyDescent="0.45">
      <c r="K723">
        <v>14757.706666692375</v>
      </c>
    </row>
    <row r="724" spans="11:11" x14ac:dyDescent="0.45">
      <c r="K724">
        <v>9256.5880689396236</v>
      </c>
    </row>
    <row r="725" spans="11:11" x14ac:dyDescent="0.45">
      <c r="K725">
        <v>10221.224764202037</v>
      </c>
    </row>
    <row r="726" spans="11:11" x14ac:dyDescent="0.45">
      <c r="K726">
        <v>7970.3124363079387</v>
      </c>
    </row>
    <row r="727" spans="11:11" x14ac:dyDescent="0.45">
      <c r="K727">
        <v>11230.009621816484</v>
      </c>
    </row>
    <row r="728" spans="11:11" x14ac:dyDescent="0.45">
      <c r="K728">
        <v>10733.056598099669</v>
      </c>
    </row>
    <row r="729" spans="11:11" x14ac:dyDescent="0.45">
      <c r="K729">
        <v>9734.001292859175</v>
      </c>
    </row>
    <row r="730" spans="11:11" x14ac:dyDescent="0.45">
      <c r="K730">
        <v>6266.8369448740905</v>
      </c>
    </row>
    <row r="731" spans="11:11" x14ac:dyDescent="0.45">
      <c r="K731">
        <v>7296.3761033782994</v>
      </c>
    </row>
    <row r="732" spans="11:11" x14ac:dyDescent="0.45">
      <c r="K732">
        <v>13181.947927135065</v>
      </c>
    </row>
    <row r="733" spans="11:11" x14ac:dyDescent="0.45">
      <c r="K733">
        <v>14632.53043566339</v>
      </c>
    </row>
    <row r="734" spans="11:11" x14ac:dyDescent="0.45">
      <c r="K734">
        <v>9045.2202640685664</v>
      </c>
    </row>
    <row r="735" spans="11:11" x14ac:dyDescent="0.45">
      <c r="K735">
        <v>7381.0849011365244</v>
      </c>
    </row>
    <row r="736" spans="11:11" x14ac:dyDescent="0.45">
      <c r="K736">
        <v>9053.1943647409425</v>
      </c>
    </row>
    <row r="737" spans="11:11" x14ac:dyDescent="0.45">
      <c r="K737">
        <v>11428.245702522356</v>
      </c>
    </row>
    <row r="738" spans="11:11" x14ac:dyDescent="0.45">
      <c r="K738">
        <v>7247.774670511697</v>
      </c>
    </row>
    <row r="739" spans="11:11" x14ac:dyDescent="0.45">
      <c r="K739">
        <v>9097.2098920752305</v>
      </c>
    </row>
    <row r="740" spans="11:11" x14ac:dyDescent="0.45">
      <c r="K740">
        <v>10891.33203458447</v>
      </c>
    </row>
    <row r="741" spans="11:11" x14ac:dyDescent="0.45">
      <c r="K741">
        <v>9475.107860571934</v>
      </c>
    </row>
    <row r="742" spans="11:11" x14ac:dyDescent="0.45">
      <c r="K742">
        <v>8702.4899571701153</v>
      </c>
    </row>
    <row r="743" spans="11:11" x14ac:dyDescent="0.45">
      <c r="K743">
        <v>8107.5552519444173</v>
      </c>
    </row>
    <row r="744" spans="11:11" x14ac:dyDescent="0.45">
      <c r="K744">
        <v>8103.5213588389715</v>
      </c>
    </row>
    <row r="745" spans="11:11" x14ac:dyDescent="0.45">
      <c r="K745">
        <v>9793.6524677965972</v>
      </c>
    </row>
    <row r="746" spans="11:11" x14ac:dyDescent="0.45">
      <c r="K746">
        <v>8968.232569990254</v>
      </c>
    </row>
    <row r="747" spans="11:11" x14ac:dyDescent="0.45">
      <c r="K747">
        <v>9371.3275202279692</v>
      </c>
    </row>
    <row r="748" spans="11:11" x14ac:dyDescent="0.45">
      <c r="K748">
        <v>12683.724085171531</v>
      </c>
    </row>
    <row r="749" spans="11:11" x14ac:dyDescent="0.45">
      <c r="K749">
        <v>11166.195277527413</v>
      </c>
    </row>
    <row r="750" spans="11:11" x14ac:dyDescent="0.45">
      <c r="K750">
        <v>10128.48306411565</v>
      </c>
    </row>
    <row r="751" spans="11:11" x14ac:dyDescent="0.45">
      <c r="K751">
        <v>6193.4926732765625</v>
      </c>
    </row>
    <row r="752" spans="11:11" x14ac:dyDescent="0.45">
      <c r="K752">
        <v>9004.0310620971268</v>
      </c>
    </row>
    <row r="753" spans="11:11" x14ac:dyDescent="0.45">
      <c r="K753">
        <v>7675.7806934265054</v>
      </c>
    </row>
    <row r="754" spans="11:11" x14ac:dyDescent="0.45">
      <c r="K754">
        <v>10523.106181656007</v>
      </c>
    </row>
    <row r="755" spans="11:11" x14ac:dyDescent="0.45">
      <c r="K755">
        <v>10511.584993284019</v>
      </c>
    </row>
    <row r="756" spans="11:11" x14ac:dyDescent="0.45">
      <c r="K756">
        <v>14385.528339724366</v>
      </c>
    </row>
    <row r="757" spans="11:11" x14ac:dyDescent="0.45">
      <c r="K757">
        <v>12094.847363167417</v>
      </c>
    </row>
    <row r="758" spans="11:11" x14ac:dyDescent="0.45">
      <c r="K758">
        <v>12944.596726057367</v>
      </c>
    </row>
    <row r="759" spans="11:11" x14ac:dyDescent="0.45">
      <c r="K759">
        <v>7162.893566771414</v>
      </c>
    </row>
    <row r="760" spans="11:11" x14ac:dyDescent="0.45">
      <c r="K760">
        <v>6062.9129271158818</v>
      </c>
    </row>
    <row r="761" spans="11:11" x14ac:dyDescent="0.45">
      <c r="K761">
        <v>10076.811379244335</v>
      </c>
    </row>
    <row r="762" spans="11:11" x14ac:dyDescent="0.45">
      <c r="K762">
        <v>10244.325067147191</v>
      </c>
    </row>
    <row r="763" spans="11:11" x14ac:dyDescent="0.45">
      <c r="K763">
        <v>8838.9345214491314</v>
      </c>
    </row>
    <row r="764" spans="11:11" x14ac:dyDescent="0.45">
      <c r="K764">
        <v>8221.9341359694427</v>
      </c>
    </row>
    <row r="765" spans="11:11" x14ac:dyDescent="0.45">
      <c r="K765">
        <v>7612.9654201688063</v>
      </c>
    </row>
    <row r="766" spans="11:11" x14ac:dyDescent="0.45">
      <c r="K766">
        <v>14047.659873414628</v>
      </c>
    </row>
    <row r="767" spans="11:11" x14ac:dyDescent="0.45">
      <c r="K767">
        <v>6943.1272375147091</v>
      </c>
    </row>
    <row r="768" spans="11:11" x14ac:dyDescent="0.45">
      <c r="K768">
        <v>10618.971524092605</v>
      </c>
    </row>
    <row r="769" spans="11:11" x14ac:dyDescent="0.45">
      <c r="K769">
        <v>13948.685770055316</v>
      </c>
    </row>
    <row r="770" spans="11:11" x14ac:dyDescent="0.45">
      <c r="K770">
        <v>9061.2507021868514</v>
      </c>
    </row>
    <row r="771" spans="11:11" x14ac:dyDescent="0.45">
      <c r="K771">
        <v>8931.5077959842147</v>
      </c>
    </row>
    <row r="772" spans="11:11" x14ac:dyDescent="0.45">
      <c r="K772">
        <v>8154.4766478390375</v>
      </c>
    </row>
    <row r="773" spans="11:11" x14ac:dyDescent="0.45">
      <c r="K773">
        <v>7609.6974013835388</v>
      </c>
    </row>
    <row r="774" spans="11:11" x14ac:dyDescent="0.45">
      <c r="K774">
        <v>11075.158799776878</v>
      </c>
    </row>
    <row r="775" spans="11:11" x14ac:dyDescent="0.45">
      <c r="K775">
        <v>10411.75364886723</v>
      </c>
    </row>
    <row r="776" spans="11:11" x14ac:dyDescent="0.45">
      <c r="K776">
        <v>6023.2184683100259</v>
      </c>
    </row>
    <row r="777" spans="11:11" x14ac:dyDescent="0.45">
      <c r="K777">
        <v>8848.7628940339982</v>
      </c>
    </row>
    <row r="778" spans="11:11" x14ac:dyDescent="0.45">
      <c r="K778">
        <v>6218.0093058109942</v>
      </c>
    </row>
    <row r="779" spans="11:11" x14ac:dyDescent="0.45">
      <c r="K779">
        <v>10596.69723174212</v>
      </c>
    </row>
    <row r="780" spans="11:11" x14ac:dyDescent="0.45">
      <c r="K780">
        <v>9903.3740549853865</v>
      </c>
    </row>
    <row r="781" spans="11:11" x14ac:dyDescent="0.45">
      <c r="K781">
        <v>15338.163302329231</v>
      </c>
    </row>
    <row r="782" spans="11:11" x14ac:dyDescent="0.45">
      <c r="K782">
        <v>12026.562533330274</v>
      </c>
    </row>
    <row r="783" spans="11:11" x14ac:dyDescent="0.45">
      <c r="K783">
        <v>7939.7942462242236</v>
      </c>
    </row>
    <row r="784" spans="11:11" x14ac:dyDescent="0.45">
      <c r="K784">
        <v>3892.4724041367072</v>
      </c>
    </row>
    <row r="785" spans="11:11" x14ac:dyDescent="0.45">
      <c r="K785">
        <v>8592.0483241883267</v>
      </c>
    </row>
    <row r="786" spans="11:11" x14ac:dyDescent="0.45">
      <c r="K786">
        <v>6158.6419017108437</v>
      </c>
    </row>
    <row r="787" spans="11:11" x14ac:dyDescent="0.45">
      <c r="K787">
        <v>7181.7354762878495</v>
      </c>
    </row>
    <row r="788" spans="11:11" x14ac:dyDescent="0.45">
      <c r="K788">
        <v>8734.4499361053204</v>
      </c>
    </row>
    <row r="789" spans="11:11" x14ac:dyDescent="0.45">
      <c r="K789">
        <v>12137.048520480381</v>
      </c>
    </row>
    <row r="790" spans="11:11" x14ac:dyDescent="0.45">
      <c r="K790">
        <v>10087.499258864966</v>
      </c>
    </row>
    <row r="791" spans="11:11" x14ac:dyDescent="0.45">
      <c r="K791">
        <v>10602.986218693619</v>
      </c>
    </row>
    <row r="792" spans="11:11" x14ac:dyDescent="0.45">
      <c r="K792">
        <v>10963.125926282362</v>
      </c>
    </row>
    <row r="793" spans="11:11" x14ac:dyDescent="0.45">
      <c r="K793">
        <v>12248.171329140099</v>
      </c>
    </row>
    <row r="794" spans="11:11" x14ac:dyDescent="0.45">
      <c r="K794">
        <v>9945.5296160738671</v>
      </c>
    </row>
    <row r="795" spans="11:11" x14ac:dyDescent="0.45">
      <c r="K795">
        <v>9352.7018243520488</v>
      </c>
    </row>
    <row r="796" spans="11:11" x14ac:dyDescent="0.45">
      <c r="K796">
        <v>7096.3334196656942</v>
      </c>
    </row>
    <row r="797" spans="11:11" x14ac:dyDescent="0.45">
      <c r="K797">
        <v>8468.4449254252777</v>
      </c>
    </row>
    <row r="798" spans="11:11" x14ac:dyDescent="0.45">
      <c r="K798">
        <v>11171.625910345221</v>
      </c>
    </row>
    <row r="799" spans="11:11" x14ac:dyDescent="0.45">
      <c r="K799">
        <v>7103.9164824260843</v>
      </c>
    </row>
    <row r="800" spans="11:11" x14ac:dyDescent="0.45">
      <c r="K800">
        <v>8560.8173676503211</v>
      </c>
    </row>
    <row r="801" spans="11:11" x14ac:dyDescent="0.45">
      <c r="K801">
        <v>8202.972590816591</v>
      </c>
    </row>
    <row r="802" spans="11:11" x14ac:dyDescent="0.45">
      <c r="K802">
        <v>7528.4680077774929</v>
      </c>
    </row>
    <row r="803" spans="11:11" x14ac:dyDescent="0.45">
      <c r="K803">
        <v>11219.2742541187</v>
      </c>
    </row>
    <row r="804" spans="11:11" x14ac:dyDescent="0.45">
      <c r="K804">
        <v>4700.3389509532517</v>
      </c>
    </row>
    <row r="805" spans="11:11" x14ac:dyDescent="0.45">
      <c r="K805">
        <v>8137.142074250798</v>
      </c>
    </row>
    <row r="806" spans="11:11" x14ac:dyDescent="0.45">
      <c r="K806">
        <v>9468.0739154836883</v>
      </c>
    </row>
    <row r="807" spans="11:11" x14ac:dyDescent="0.45">
      <c r="K807">
        <v>7709.1808365652578</v>
      </c>
    </row>
    <row r="808" spans="11:11" x14ac:dyDescent="0.45">
      <c r="K808">
        <v>9805.3114177336865</v>
      </c>
    </row>
    <row r="809" spans="11:11" x14ac:dyDescent="0.45">
      <c r="K809">
        <v>10413.776520772351</v>
      </c>
    </row>
    <row r="810" spans="11:11" x14ac:dyDescent="0.45">
      <c r="K810">
        <v>9278.7948025065907</v>
      </c>
    </row>
    <row r="811" spans="11:11" x14ac:dyDescent="0.45">
      <c r="K811">
        <v>7346.1344418430599</v>
      </c>
    </row>
    <row r="812" spans="11:11" x14ac:dyDescent="0.45">
      <c r="K812">
        <v>12310.796253548961</v>
      </c>
    </row>
    <row r="813" spans="11:11" x14ac:dyDescent="0.45">
      <c r="K813">
        <v>10851.418081055697</v>
      </c>
    </row>
    <row r="814" spans="11:11" x14ac:dyDescent="0.45">
      <c r="K814">
        <v>7312.2637210845151</v>
      </c>
    </row>
    <row r="815" spans="11:11" x14ac:dyDescent="0.45">
      <c r="K815">
        <v>7010.217063605829</v>
      </c>
    </row>
    <row r="816" spans="11:11" x14ac:dyDescent="0.45">
      <c r="K816">
        <v>6698.7333418398066</v>
      </c>
    </row>
    <row r="817" spans="11:11" x14ac:dyDescent="0.45">
      <c r="K817">
        <v>9482.6060380684139</v>
      </c>
    </row>
    <row r="818" spans="11:11" x14ac:dyDescent="0.45">
      <c r="K818">
        <v>7278.9330465275707</v>
      </c>
    </row>
    <row r="819" spans="11:11" x14ac:dyDescent="0.45">
      <c r="K819">
        <v>8229.6462941249629</v>
      </c>
    </row>
    <row r="820" spans="11:11" x14ac:dyDescent="0.45">
      <c r="K820">
        <v>10833.664406044056</v>
      </c>
    </row>
    <row r="821" spans="11:11" x14ac:dyDescent="0.45">
      <c r="K821">
        <v>7702.8028589908336</v>
      </c>
    </row>
    <row r="822" spans="11:11" x14ac:dyDescent="0.45">
      <c r="K822">
        <v>10846.164045872782</v>
      </c>
    </row>
    <row r="823" spans="11:11" x14ac:dyDescent="0.45">
      <c r="K823">
        <v>7759.0045460449228</v>
      </c>
    </row>
    <row r="824" spans="11:11" x14ac:dyDescent="0.45">
      <c r="K824">
        <v>13261.447778179718</v>
      </c>
    </row>
    <row r="825" spans="11:11" x14ac:dyDescent="0.45">
      <c r="K825">
        <v>8191.1747478083653</v>
      </c>
    </row>
    <row r="826" spans="11:11" x14ac:dyDescent="0.45">
      <c r="K826">
        <v>11021.327874489538</v>
      </c>
    </row>
    <row r="827" spans="11:11" x14ac:dyDescent="0.45">
      <c r="K827">
        <v>8817.3994830776955</v>
      </c>
    </row>
    <row r="828" spans="11:11" x14ac:dyDescent="0.45">
      <c r="K828">
        <v>9426.7734473960445</v>
      </c>
    </row>
    <row r="829" spans="11:11" x14ac:dyDescent="0.45">
      <c r="K829">
        <v>8868.8517322906373</v>
      </c>
    </row>
    <row r="830" spans="11:11" x14ac:dyDescent="0.45">
      <c r="K830">
        <v>10226.217824344913</v>
      </c>
    </row>
    <row r="831" spans="11:11" x14ac:dyDescent="0.45">
      <c r="K831">
        <v>9207.4352464611056</v>
      </c>
    </row>
    <row r="832" spans="11:11" x14ac:dyDescent="0.45">
      <c r="K832">
        <v>12429.496101447818</v>
      </c>
    </row>
    <row r="833" spans="11:11" x14ac:dyDescent="0.45">
      <c r="K833">
        <v>7382.9113863463663</v>
      </c>
    </row>
    <row r="834" spans="11:11" x14ac:dyDescent="0.45">
      <c r="K834">
        <v>10382.446054921147</v>
      </c>
    </row>
    <row r="835" spans="11:11" x14ac:dyDescent="0.45">
      <c r="K835">
        <v>8131.606670301835</v>
      </c>
    </row>
    <row r="836" spans="11:11" x14ac:dyDescent="0.45">
      <c r="K836">
        <v>7649.0701910630105</v>
      </c>
    </row>
    <row r="837" spans="11:11" x14ac:dyDescent="0.45">
      <c r="K837">
        <v>10206.989602578431</v>
      </c>
    </row>
    <row r="838" spans="11:11" x14ac:dyDescent="0.45">
      <c r="K838">
        <v>12419.849512863679</v>
      </c>
    </row>
    <row r="839" spans="11:11" x14ac:dyDescent="0.45">
      <c r="K839">
        <v>9105.7462067592605</v>
      </c>
    </row>
    <row r="840" spans="11:11" x14ac:dyDescent="0.45">
      <c r="K840">
        <v>9781.259340173754</v>
      </c>
    </row>
    <row r="841" spans="11:11" x14ac:dyDescent="0.45">
      <c r="K841">
        <v>10271.660560398399</v>
      </c>
    </row>
    <row r="842" spans="11:11" x14ac:dyDescent="0.45">
      <c r="K842">
        <v>8904.3485785276735</v>
      </c>
    </row>
    <row r="843" spans="11:11" x14ac:dyDescent="0.45">
      <c r="K843">
        <v>12498.202592696241</v>
      </c>
    </row>
    <row r="844" spans="11:11" x14ac:dyDescent="0.45">
      <c r="K844">
        <v>9412.5732066981218</v>
      </c>
    </row>
    <row r="845" spans="11:11" x14ac:dyDescent="0.45">
      <c r="K845">
        <v>5427.7374411135897</v>
      </c>
    </row>
    <row r="846" spans="11:11" x14ac:dyDescent="0.45">
      <c r="K846">
        <v>11112.094099658578</v>
      </c>
    </row>
    <row r="847" spans="11:11" x14ac:dyDescent="0.45">
      <c r="K847">
        <v>12928.612405497621</v>
      </c>
    </row>
    <row r="848" spans="11:11" x14ac:dyDescent="0.45">
      <c r="K848">
        <v>8485.7681980341767</v>
      </c>
    </row>
    <row r="849" spans="11:11" x14ac:dyDescent="0.45">
      <c r="K849">
        <v>10628.75387191536</v>
      </c>
    </row>
    <row r="850" spans="11:11" x14ac:dyDescent="0.45">
      <c r="K850">
        <v>10059.874098665403</v>
      </c>
    </row>
    <row r="851" spans="11:11" x14ac:dyDescent="0.45">
      <c r="K851">
        <v>7170.4513382979476</v>
      </c>
    </row>
    <row r="852" spans="11:11" x14ac:dyDescent="0.45">
      <c r="K852">
        <v>9934.4841745618141</v>
      </c>
    </row>
    <row r="853" spans="11:11" x14ac:dyDescent="0.45">
      <c r="K853">
        <v>8119.6149808529608</v>
      </c>
    </row>
    <row r="854" spans="11:11" x14ac:dyDescent="0.45">
      <c r="K854">
        <v>12250.330202610086</v>
      </c>
    </row>
    <row r="855" spans="11:11" x14ac:dyDescent="0.45">
      <c r="K855">
        <v>11574.914404048341</v>
      </c>
    </row>
    <row r="856" spans="11:11" x14ac:dyDescent="0.45">
      <c r="K856">
        <v>10019.422613418295</v>
      </c>
    </row>
    <row r="857" spans="11:11" x14ac:dyDescent="0.45">
      <c r="K857">
        <v>9054.2785291665969</v>
      </c>
    </row>
    <row r="858" spans="11:11" x14ac:dyDescent="0.45">
      <c r="K858">
        <v>11930.50495892417</v>
      </c>
    </row>
    <row r="859" spans="11:11" x14ac:dyDescent="0.45">
      <c r="K859">
        <v>12642.859585043983</v>
      </c>
    </row>
    <row r="860" spans="11:11" x14ac:dyDescent="0.45">
      <c r="K860">
        <v>10503.038496873596</v>
      </c>
    </row>
    <row r="861" spans="11:11" x14ac:dyDescent="0.45">
      <c r="K861">
        <v>7592.9885700358009</v>
      </c>
    </row>
    <row r="862" spans="11:11" x14ac:dyDescent="0.45">
      <c r="K862">
        <v>10268.778906065818</v>
      </c>
    </row>
    <row r="863" spans="11:11" x14ac:dyDescent="0.45">
      <c r="K863">
        <v>6498.8366288961506</v>
      </c>
    </row>
    <row r="864" spans="11:11" x14ac:dyDescent="0.45">
      <c r="K864">
        <v>9973.7848499728825</v>
      </c>
    </row>
    <row r="865" spans="11:11" x14ac:dyDescent="0.45">
      <c r="K865">
        <v>7929.6440097747</v>
      </c>
    </row>
    <row r="866" spans="11:11" x14ac:dyDescent="0.45">
      <c r="K866">
        <v>11438.707561040133</v>
      </c>
    </row>
    <row r="867" spans="11:11" x14ac:dyDescent="0.45">
      <c r="K867">
        <v>11112.451232214604</v>
      </c>
    </row>
    <row r="868" spans="11:11" x14ac:dyDescent="0.45">
      <c r="K868">
        <v>11984.097472152245</v>
      </c>
    </row>
    <row r="869" spans="11:11" x14ac:dyDescent="0.45">
      <c r="K869">
        <v>6313.2342668931924</v>
      </c>
    </row>
    <row r="870" spans="11:11" x14ac:dyDescent="0.45">
      <c r="K870">
        <v>5995.1979703013567</v>
      </c>
    </row>
    <row r="871" spans="11:11" x14ac:dyDescent="0.45">
      <c r="K871">
        <v>10674.162674008889</v>
      </c>
    </row>
    <row r="872" spans="11:11" x14ac:dyDescent="0.45">
      <c r="K872">
        <v>13473.970431508198</v>
      </c>
    </row>
    <row r="873" spans="11:11" x14ac:dyDescent="0.45">
      <c r="K873">
        <v>10674.08050970853</v>
      </c>
    </row>
    <row r="874" spans="11:11" x14ac:dyDescent="0.45">
      <c r="K874">
        <v>12236.059597124673</v>
      </c>
    </row>
    <row r="875" spans="11:11" x14ac:dyDescent="0.45">
      <c r="K875">
        <v>9938.2601036865508</v>
      </c>
    </row>
    <row r="876" spans="11:11" x14ac:dyDescent="0.45">
      <c r="K876">
        <v>9725.743303465295</v>
      </c>
    </row>
    <row r="877" spans="11:11" x14ac:dyDescent="0.45">
      <c r="K877">
        <v>7371.3889962086796</v>
      </c>
    </row>
    <row r="878" spans="11:11" x14ac:dyDescent="0.45">
      <c r="K878">
        <v>6617.7812069413512</v>
      </c>
    </row>
    <row r="879" spans="11:11" x14ac:dyDescent="0.45">
      <c r="K879">
        <v>8060.39058718462</v>
      </c>
    </row>
    <row r="880" spans="11:11" x14ac:dyDescent="0.45">
      <c r="K880">
        <v>2068.7406187775186</v>
      </c>
    </row>
    <row r="881" spans="11:11" x14ac:dyDescent="0.45">
      <c r="K881">
        <v>10083.292611150215</v>
      </c>
    </row>
    <row r="882" spans="11:11" x14ac:dyDescent="0.45">
      <c r="K882">
        <v>14087.994531917771</v>
      </c>
    </row>
    <row r="883" spans="11:11" x14ac:dyDescent="0.45">
      <c r="K883">
        <v>9591.6370281718646</v>
      </c>
    </row>
    <row r="884" spans="11:11" x14ac:dyDescent="0.45">
      <c r="K884">
        <v>9734.8876961696606</v>
      </c>
    </row>
    <row r="885" spans="11:11" x14ac:dyDescent="0.45">
      <c r="K885">
        <v>8444.1954889755889</v>
      </c>
    </row>
    <row r="886" spans="11:11" x14ac:dyDescent="0.45">
      <c r="K886">
        <v>9989.7829042141948</v>
      </c>
    </row>
    <row r="887" spans="11:11" x14ac:dyDescent="0.45">
      <c r="K887">
        <v>6265.870900056123</v>
      </c>
    </row>
    <row r="888" spans="11:11" x14ac:dyDescent="0.45">
      <c r="K888">
        <v>7168.1872546694613</v>
      </c>
    </row>
    <row r="889" spans="11:11" x14ac:dyDescent="0.45">
      <c r="K889">
        <v>10596.78117826726</v>
      </c>
    </row>
    <row r="890" spans="11:11" x14ac:dyDescent="0.45">
      <c r="K890">
        <v>11178.901829724851</v>
      </c>
    </row>
    <row r="891" spans="11:11" x14ac:dyDescent="0.45">
      <c r="K891">
        <v>11143.902775398798</v>
      </c>
    </row>
    <row r="892" spans="11:11" x14ac:dyDescent="0.45">
      <c r="K892">
        <v>9824.5119761530841</v>
      </c>
    </row>
    <row r="893" spans="11:11" x14ac:dyDescent="0.45">
      <c r="K893">
        <v>7520.1991261430367</v>
      </c>
    </row>
    <row r="894" spans="11:11" x14ac:dyDescent="0.45">
      <c r="K894">
        <v>8429.8375125645089</v>
      </c>
    </row>
    <row r="895" spans="11:11" x14ac:dyDescent="0.45">
      <c r="K895">
        <v>12098.56048813531</v>
      </c>
    </row>
    <row r="896" spans="11:11" x14ac:dyDescent="0.45">
      <c r="K896">
        <v>9125.9448650054146</v>
      </c>
    </row>
    <row r="897" spans="11:11" x14ac:dyDescent="0.45">
      <c r="K897">
        <v>12945.545493144642</v>
      </c>
    </row>
    <row r="898" spans="11:11" x14ac:dyDescent="0.45">
      <c r="K898">
        <v>7753.8318670007848</v>
      </c>
    </row>
    <row r="899" spans="11:11" x14ac:dyDescent="0.45">
      <c r="K899">
        <v>5806.667901468375</v>
      </c>
    </row>
    <row r="900" spans="11:11" x14ac:dyDescent="0.45">
      <c r="K900">
        <v>9363.0236193285946</v>
      </c>
    </row>
    <row r="901" spans="11:11" x14ac:dyDescent="0.45">
      <c r="K901">
        <v>10981.520679239671</v>
      </c>
    </row>
    <row r="902" spans="11:11" x14ac:dyDescent="0.45">
      <c r="K902">
        <v>8073.5727219789169</v>
      </c>
    </row>
    <row r="903" spans="11:11" x14ac:dyDescent="0.45">
      <c r="K903">
        <v>8818.7358724121168</v>
      </c>
    </row>
    <row r="904" spans="11:11" x14ac:dyDescent="0.45">
      <c r="K904">
        <v>9507.5917203815134</v>
      </c>
    </row>
    <row r="905" spans="11:11" x14ac:dyDescent="0.45">
      <c r="K905">
        <v>11731.343253106008</v>
      </c>
    </row>
    <row r="906" spans="11:11" x14ac:dyDescent="0.45">
      <c r="K906">
        <v>8693.29012652456</v>
      </c>
    </row>
    <row r="907" spans="11:11" x14ac:dyDescent="0.45">
      <c r="K907">
        <v>9693.7842734441019</v>
      </c>
    </row>
    <row r="908" spans="11:11" x14ac:dyDescent="0.45">
      <c r="K908">
        <v>6978.4391799743962</v>
      </c>
    </row>
    <row r="909" spans="11:11" x14ac:dyDescent="0.45">
      <c r="K909">
        <v>9151.7754215717123</v>
      </c>
    </row>
    <row r="910" spans="11:11" x14ac:dyDescent="0.45">
      <c r="K910">
        <v>13720.568870216161</v>
      </c>
    </row>
    <row r="911" spans="11:11" x14ac:dyDescent="0.45">
      <c r="K911">
        <v>9811.151967606962</v>
      </c>
    </row>
    <row r="912" spans="11:11" x14ac:dyDescent="0.45">
      <c r="K912">
        <v>9909.6577562668226</v>
      </c>
    </row>
    <row r="913" spans="11:11" x14ac:dyDescent="0.45">
      <c r="K913">
        <v>15480.415932941207</v>
      </c>
    </row>
    <row r="914" spans="11:11" x14ac:dyDescent="0.45">
      <c r="K914">
        <v>9218.8475779736564</v>
      </c>
    </row>
    <row r="915" spans="11:11" x14ac:dyDescent="0.45">
      <c r="K915">
        <v>9849.9863490721309</v>
      </c>
    </row>
    <row r="916" spans="11:11" x14ac:dyDescent="0.45">
      <c r="K916">
        <v>9831.6663439436488</v>
      </c>
    </row>
    <row r="917" spans="11:11" x14ac:dyDescent="0.45">
      <c r="K917">
        <v>12432.519924549037</v>
      </c>
    </row>
    <row r="918" spans="11:11" x14ac:dyDescent="0.45">
      <c r="K918">
        <v>12395.22724974025</v>
      </c>
    </row>
    <row r="919" spans="11:11" x14ac:dyDescent="0.45">
      <c r="K919">
        <v>10906.487860562032</v>
      </c>
    </row>
    <row r="920" spans="11:11" x14ac:dyDescent="0.45">
      <c r="K920">
        <v>6584.4676488627083</v>
      </c>
    </row>
    <row r="921" spans="11:11" x14ac:dyDescent="0.45">
      <c r="K921">
        <v>12777.799177495446</v>
      </c>
    </row>
    <row r="922" spans="11:11" x14ac:dyDescent="0.45">
      <c r="K922">
        <v>11241.538720327349</v>
      </c>
    </row>
    <row r="923" spans="11:11" x14ac:dyDescent="0.45">
      <c r="K923">
        <v>11236.042406416063</v>
      </c>
    </row>
    <row r="924" spans="11:11" x14ac:dyDescent="0.45">
      <c r="K924">
        <v>8341.2257140061829</v>
      </c>
    </row>
    <row r="925" spans="11:11" x14ac:dyDescent="0.45">
      <c r="K925">
        <v>9044.3849094019788</v>
      </c>
    </row>
    <row r="926" spans="11:11" x14ac:dyDescent="0.45">
      <c r="K926">
        <v>7466.2756474718326</v>
      </c>
    </row>
    <row r="927" spans="11:11" x14ac:dyDescent="0.45">
      <c r="K927">
        <v>11201.443093571068</v>
      </c>
    </row>
    <row r="928" spans="11:11" x14ac:dyDescent="0.45">
      <c r="K928">
        <v>10061.328622370298</v>
      </c>
    </row>
    <row r="929" spans="11:11" x14ac:dyDescent="0.45">
      <c r="K929">
        <v>10398.181466989399</v>
      </c>
    </row>
    <row r="930" spans="11:11" x14ac:dyDescent="0.45">
      <c r="K930">
        <v>8073.8170402739688</v>
      </c>
    </row>
    <row r="931" spans="11:11" x14ac:dyDescent="0.45">
      <c r="K931">
        <v>10532.596443860682</v>
      </c>
    </row>
    <row r="932" spans="11:11" x14ac:dyDescent="0.45">
      <c r="K932">
        <v>14209.120981873184</v>
      </c>
    </row>
    <row r="933" spans="11:11" x14ac:dyDescent="0.45">
      <c r="K933">
        <v>9091.3069474229396</v>
      </c>
    </row>
    <row r="934" spans="11:11" x14ac:dyDescent="0.45">
      <c r="K934">
        <v>8159.856875989477</v>
      </c>
    </row>
    <row r="935" spans="11:11" x14ac:dyDescent="0.45">
      <c r="K935">
        <v>10961.267368700608</v>
      </c>
    </row>
    <row r="936" spans="11:11" x14ac:dyDescent="0.45">
      <c r="K936">
        <v>13845.057113345963</v>
      </c>
    </row>
    <row r="937" spans="11:11" x14ac:dyDescent="0.45">
      <c r="K937">
        <v>9440.3973548410358</v>
      </c>
    </row>
    <row r="938" spans="11:11" x14ac:dyDescent="0.45">
      <c r="K938">
        <v>17253.989114325421</v>
      </c>
    </row>
    <row r="939" spans="11:11" x14ac:dyDescent="0.45">
      <c r="K939">
        <v>10394.46053980322</v>
      </c>
    </row>
    <row r="940" spans="11:11" x14ac:dyDescent="0.45">
      <c r="K940">
        <v>11312.353357028293</v>
      </c>
    </row>
    <row r="941" spans="11:11" x14ac:dyDescent="0.45">
      <c r="K941">
        <v>12954.526674043591</v>
      </c>
    </row>
    <row r="942" spans="11:11" x14ac:dyDescent="0.45">
      <c r="K942">
        <v>6808.8733874465124</v>
      </c>
    </row>
    <row r="943" spans="11:11" x14ac:dyDescent="0.45">
      <c r="K943">
        <v>8859.3450989315807</v>
      </c>
    </row>
    <row r="944" spans="11:11" x14ac:dyDescent="0.45">
      <c r="K944">
        <v>3331.1934208621824</v>
      </c>
    </row>
    <row r="945" spans="11:11" x14ac:dyDescent="0.45">
      <c r="K945">
        <v>11018.819387802079</v>
      </c>
    </row>
    <row r="946" spans="11:11" x14ac:dyDescent="0.45">
      <c r="K946">
        <v>7553.7346289438156</v>
      </c>
    </row>
    <row r="947" spans="11:11" x14ac:dyDescent="0.45">
      <c r="K947">
        <v>12837.840255596631</v>
      </c>
    </row>
    <row r="948" spans="11:11" x14ac:dyDescent="0.45">
      <c r="K948">
        <v>10762.324681434988</v>
      </c>
    </row>
    <row r="949" spans="11:11" x14ac:dyDescent="0.45">
      <c r="K949">
        <v>9460.012783632661</v>
      </c>
    </row>
    <row r="950" spans="11:11" x14ac:dyDescent="0.45">
      <c r="K950">
        <v>10897.446563169544</v>
      </c>
    </row>
    <row r="951" spans="11:11" x14ac:dyDescent="0.45">
      <c r="K951">
        <v>5713.1294240754241</v>
      </c>
    </row>
    <row r="952" spans="11:11" x14ac:dyDescent="0.45">
      <c r="K952">
        <v>13322.897950773784</v>
      </c>
    </row>
    <row r="953" spans="11:11" x14ac:dyDescent="0.45">
      <c r="K953">
        <v>12422.259499261887</v>
      </c>
    </row>
    <row r="954" spans="11:11" x14ac:dyDescent="0.45">
      <c r="K954">
        <v>10004.29610955576</v>
      </c>
    </row>
    <row r="955" spans="11:11" x14ac:dyDescent="0.45">
      <c r="K955">
        <v>9523.2147767796087</v>
      </c>
    </row>
    <row r="956" spans="11:11" x14ac:dyDescent="0.45">
      <c r="K956">
        <v>9287.9607626533834</v>
      </c>
    </row>
    <row r="957" spans="11:11" x14ac:dyDescent="0.45">
      <c r="K957">
        <v>9624.1858658701094</v>
      </c>
    </row>
    <row r="958" spans="11:11" x14ac:dyDescent="0.45">
      <c r="K958">
        <v>7114.6254232473648</v>
      </c>
    </row>
    <row r="959" spans="11:11" x14ac:dyDescent="0.45">
      <c r="K959">
        <v>10616.147326973582</v>
      </c>
    </row>
    <row r="960" spans="11:11" x14ac:dyDescent="0.45">
      <c r="K960">
        <v>12567.433447371957</v>
      </c>
    </row>
    <row r="961" spans="11:11" x14ac:dyDescent="0.45">
      <c r="K961">
        <v>12273.265155087563</v>
      </c>
    </row>
    <row r="962" spans="11:11" x14ac:dyDescent="0.45">
      <c r="K962">
        <v>10149.908256876963</v>
      </c>
    </row>
    <row r="963" spans="11:11" x14ac:dyDescent="0.45">
      <c r="K963">
        <v>10310.64160818315</v>
      </c>
    </row>
    <row r="964" spans="11:11" x14ac:dyDescent="0.45">
      <c r="K964">
        <v>11084.90929515686</v>
      </c>
    </row>
    <row r="965" spans="11:11" x14ac:dyDescent="0.45">
      <c r="K965">
        <v>8295.9592959146594</v>
      </c>
    </row>
    <row r="966" spans="11:11" x14ac:dyDescent="0.45">
      <c r="K966">
        <v>9605.1440012268995</v>
      </c>
    </row>
    <row r="967" spans="11:11" x14ac:dyDescent="0.45">
      <c r="K967">
        <v>9507.8883095751189</v>
      </c>
    </row>
    <row r="968" spans="11:11" x14ac:dyDescent="0.45">
      <c r="K968">
        <v>8783.1921196876447</v>
      </c>
    </row>
    <row r="969" spans="11:11" x14ac:dyDescent="0.45">
      <c r="K969">
        <v>11034.143023196166</v>
      </c>
    </row>
    <row r="970" spans="11:11" x14ac:dyDescent="0.45">
      <c r="K970">
        <v>8276.3588003752211</v>
      </c>
    </row>
    <row r="971" spans="11:11" x14ac:dyDescent="0.45">
      <c r="K971">
        <v>10418.018120410065</v>
      </c>
    </row>
    <row r="972" spans="11:11" x14ac:dyDescent="0.45">
      <c r="K972">
        <v>8970.0006516524118</v>
      </c>
    </row>
    <row r="973" spans="11:11" x14ac:dyDescent="0.45">
      <c r="K973">
        <v>10067.908012587013</v>
      </c>
    </row>
    <row r="974" spans="11:11" x14ac:dyDescent="0.45">
      <c r="K974">
        <v>8559.4251642982126</v>
      </c>
    </row>
    <row r="975" spans="11:11" x14ac:dyDescent="0.45">
      <c r="K975">
        <v>10674.349572229641</v>
      </c>
    </row>
    <row r="976" spans="11:11" x14ac:dyDescent="0.45">
      <c r="K976">
        <v>11587.59563165998</v>
      </c>
    </row>
    <row r="977" spans="11:11" x14ac:dyDescent="0.45">
      <c r="K977">
        <v>16011.005244686439</v>
      </c>
    </row>
    <row r="978" spans="11:11" x14ac:dyDescent="0.45">
      <c r="K978">
        <v>11003.608725305599</v>
      </c>
    </row>
    <row r="979" spans="11:11" x14ac:dyDescent="0.45">
      <c r="K979">
        <v>13053.557110274462</v>
      </c>
    </row>
    <row r="980" spans="11:11" x14ac:dyDescent="0.45">
      <c r="K980">
        <v>10996.604902220221</v>
      </c>
    </row>
    <row r="981" spans="11:11" x14ac:dyDescent="0.45">
      <c r="K981">
        <v>7316.3445340251183</v>
      </c>
    </row>
    <row r="982" spans="11:11" x14ac:dyDescent="0.45">
      <c r="K982">
        <v>8479.8587102654164</v>
      </c>
    </row>
    <row r="983" spans="11:11" x14ac:dyDescent="0.45">
      <c r="K983">
        <v>14103.877744462357</v>
      </c>
    </row>
    <row r="984" spans="11:11" x14ac:dyDescent="0.45">
      <c r="K984">
        <v>9046.2148054219706</v>
      </c>
    </row>
    <row r="985" spans="11:11" x14ac:dyDescent="0.45">
      <c r="K985">
        <v>8437.965282778845</v>
      </c>
    </row>
    <row r="986" spans="11:11" x14ac:dyDescent="0.45">
      <c r="K986">
        <v>7152.0665352012184</v>
      </c>
    </row>
    <row r="987" spans="11:11" x14ac:dyDescent="0.45">
      <c r="K987">
        <v>10262.580860799862</v>
      </c>
    </row>
    <row r="988" spans="11:11" x14ac:dyDescent="0.45">
      <c r="K988">
        <v>10901.657318795709</v>
      </c>
    </row>
    <row r="989" spans="11:11" x14ac:dyDescent="0.45">
      <c r="K989">
        <v>11013.876858584355</v>
      </c>
    </row>
    <row r="990" spans="11:11" x14ac:dyDescent="0.45">
      <c r="K990">
        <v>7591.3218607844065</v>
      </c>
    </row>
    <row r="991" spans="11:11" x14ac:dyDescent="0.45">
      <c r="K991">
        <v>12507.796167446901</v>
      </c>
    </row>
    <row r="992" spans="11:11" x14ac:dyDescent="0.45">
      <c r="K992">
        <v>12935.1888348759</v>
      </c>
    </row>
    <row r="993" spans="11:11" x14ac:dyDescent="0.45">
      <c r="K993">
        <v>6272.4047644361026</v>
      </c>
    </row>
    <row r="994" spans="11:11" x14ac:dyDescent="0.45">
      <c r="K994">
        <v>9895.6781366292162</v>
      </c>
    </row>
    <row r="995" spans="11:11" x14ac:dyDescent="0.45">
      <c r="K995">
        <v>9658.3736475945698</v>
      </c>
    </row>
    <row r="996" spans="11:11" x14ac:dyDescent="0.45">
      <c r="K996">
        <v>6407.5801549839834</v>
      </c>
    </row>
    <row r="997" spans="11:11" x14ac:dyDescent="0.45">
      <c r="K997">
        <v>8674.6129241950384</v>
      </c>
    </row>
    <row r="998" spans="11:11" x14ac:dyDescent="0.45">
      <c r="K998">
        <v>7332.6234806425418</v>
      </c>
    </row>
    <row r="999" spans="11:11" x14ac:dyDescent="0.45">
      <c r="K999">
        <v>7938.1066939974762</v>
      </c>
    </row>
    <row r="1000" spans="11:11" x14ac:dyDescent="0.45">
      <c r="K1000">
        <v>12867.174485165267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15DF4-01E8-4A34-BDEC-B2F049FBA02F}">
  <sheetPr codeName="Sheet7"/>
  <dimension ref="A1:Q1000"/>
  <sheetViews>
    <sheetView workbookViewId="0">
      <selection activeCell="D3" sqref="D3"/>
    </sheetView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22688.296201172932</v>
      </c>
      <c r="M1" s="1">
        <f>AVERAGE(K1:K10000)</f>
        <v>31727.649043670852</v>
      </c>
    </row>
    <row r="2" spans="1:17" x14ac:dyDescent="0.45">
      <c r="C2" t="s">
        <v>0</v>
      </c>
      <c r="D2" t="s">
        <v>1</v>
      </c>
      <c r="K2">
        <v>9103.4608578054649</v>
      </c>
      <c r="M2" s="1">
        <f>_xlfn.STDEV.S(K1:K10000)</f>
        <v>11310.351813460025</v>
      </c>
    </row>
    <row r="3" spans="1:17" x14ac:dyDescent="0.45">
      <c r="B3" t="s">
        <v>8</v>
      </c>
      <c r="C3" s="1">
        <v>32108</v>
      </c>
      <c r="D3" s="1">
        <v>11357</v>
      </c>
      <c r="H3">
        <v>10301.535158844999</v>
      </c>
      <c r="K3">
        <v>18977.252261552425</v>
      </c>
      <c r="O3" s="3"/>
      <c r="P3" s="4"/>
      <c r="Q3" s="5"/>
    </row>
    <row r="4" spans="1:17" x14ac:dyDescent="0.45">
      <c r="H4">
        <v>12263.924251423747</v>
      </c>
      <c r="K4">
        <v>22401.845828023696</v>
      </c>
      <c r="O4" s="6"/>
      <c r="P4" s="7"/>
      <c r="Q4" s="8"/>
    </row>
    <row r="5" spans="1:17" x14ac:dyDescent="0.45">
      <c r="B5" t="s">
        <v>2</v>
      </c>
      <c r="C5" s="1">
        <f ca="1">_xlfn.NORM.INV(RAND(),C3,D3)</f>
        <v>39071.011422608812</v>
      </c>
      <c r="K5">
        <v>29556.781549194537</v>
      </c>
      <c r="O5" s="6"/>
      <c r="P5" s="7"/>
      <c r="Q5" s="8"/>
    </row>
    <row r="6" spans="1:17" x14ac:dyDescent="0.45">
      <c r="K6">
        <v>31320.310012525573</v>
      </c>
      <c r="O6" s="6"/>
      <c r="P6" s="7"/>
      <c r="Q6" s="8"/>
    </row>
    <row r="7" spans="1:17" x14ac:dyDescent="0.45">
      <c r="E7" s="1">
        <f ca="1">_xlfn.NORM.INV(RAND(),$C$3,$D$3)</f>
        <v>39972.915948453003</v>
      </c>
      <c r="F7" s="1">
        <f t="shared" ref="F7:I7" ca="1" si="0">_xlfn.NORM.INV(RAND(),$C$3,$D$3)</f>
        <v>19419.861439250766</v>
      </c>
      <c r="G7" s="1">
        <f t="shared" ca="1" si="0"/>
        <v>37052.720663709064</v>
      </c>
      <c r="H7" s="1">
        <f t="shared" ca="1" si="0"/>
        <v>18357.943310766648</v>
      </c>
      <c r="I7" s="1">
        <f t="shared" ca="1" si="0"/>
        <v>18768.621730429128</v>
      </c>
      <c r="K7">
        <v>22581.20721997667</v>
      </c>
      <c r="O7" s="6"/>
      <c r="P7" s="7"/>
      <c r="Q7" s="8"/>
    </row>
    <row r="8" spans="1:17" x14ac:dyDescent="0.45">
      <c r="B8" t="s">
        <v>3</v>
      </c>
      <c r="C8">
        <v>1000</v>
      </c>
      <c r="K8">
        <v>35196.977509245131</v>
      </c>
      <c r="O8" s="6"/>
      <c r="P8" s="7"/>
      <c r="Q8" s="8"/>
    </row>
    <row r="9" spans="1:17" x14ac:dyDescent="0.45">
      <c r="B9" t="s">
        <v>4</v>
      </c>
      <c r="C9">
        <v>1000</v>
      </c>
      <c r="K9">
        <v>40145.726249432802</v>
      </c>
      <c r="O9" s="6"/>
      <c r="P9" s="7"/>
      <c r="Q9" s="8"/>
    </row>
    <row r="10" spans="1:17" x14ac:dyDescent="0.45">
      <c r="B10" t="s">
        <v>6</v>
      </c>
      <c r="C10" s="1">
        <f>MAX(K:K)</f>
        <v>66033.942498060787</v>
      </c>
      <c r="K10">
        <v>34156.084742284664</v>
      </c>
      <c r="O10" s="6"/>
      <c r="P10" s="7"/>
      <c r="Q10" s="8"/>
    </row>
    <row r="11" spans="1:17" x14ac:dyDescent="0.45">
      <c r="B11" t="s">
        <v>5</v>
      </c>
      <c r="C11" s="1">
        <f>MIN(K:K)</f>
        <v>0</v>
      </c>
      <c r="E11" s="1">
        <f>ROUNDDOWN((C10-C11)/100,0)</f>
        <v>660</v>
      </c>
      <c r="K11">
        <v>18839.678285562888</v>
      </c>
      <c r="O11" s="6"/>
      <c r="P11" s="7"/>
      <c r="Q11" s="8"/>
    </row>
    <row r="12" spans="1:17" x14ac:dyDescent="0.45">
      <c r="K12">
        <v>18086.488507454145</v>
      </c>
      <c r="O12" s="6"/>
      <c r="P12" s="7"/>
      <c r="Q12" s="8"/>
    </row>
    <row r="13" spans="1:17" x14ac:dyDescent="0.45">
      <c r="A13" s="1">
        <f>ROUNDDOWN(C11,0)</f>
        <v>0</v>
      </c>
      <c r="B13">
        <f>COUNTIFS($K$1:$K$1000,"&gt;="&amp; A13,$K$1:$K$1000,"&lt;="&amp; A14)</f>
        <v>7</v>
      </c>
      <c r="C13" s="2"/>
      <c r="K13">
        <v>23026.737938456932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1320.6788499612157</v>
      </c>
      <c r="B14">
        <f t="shared" ref="B14:B62" si="1">COUNTIFS($K$1:$K$1000,"&gt;="&amp; A14,$K$1:$K$1000,"&lt;="&amp; A15)</f>
        <v>2</v>
      </c>
      <c r="C14" s="2"/>
      <c r="K14">
        <v>48790.663236608132</v>
      </c>
      <c r="O14" s="6"/>
      <c r="P14" s="7"/>
      <c r="Q14" s="8"/>
    </row>
    <row r="15" spans="1:17" x14ac:dyDescent="0.45">
      <c r="A15" s="1">
        <f t="shared" ref="A15:A63" si="2">IF(A14+($C$10-$C$11)/50&lt;=$C$10,A14+($C$10-$C$11)/50,MAX(A14+($C$10-$C$11)/50,$C$10))</f>
        <v>2641.3576999224315</v>
      </c>
      <c r="B15">
        <f t="shared" si="1"/>
        <v>3</v>
      </c>
      <c r="C15" s="2"/>
      <c r="K15">
        <v>40742.131362589229</v>
      </c>
      <c r="O15" s="6"/>
      <c r="P15" s="7"/>
      <c r="Q15" s="8"/>
    </row>
    <row r="16" spans="1:17" x14ac:dyDescent="0.45">
      <c r="A16" s="1">
        <f t="shared" si="2"/>
        <v>3962.0365498836472</v>
      </c>
      <c r="B16">
        <f t="shared" si="1"/>
        <v>1</v>
      </c>
      <c r="C16" s="2"/>
      <c r="K16">
        <v>23447.350120275973</v>
      </c>
      <c r="O16" s="6"/>
      <c r="P16" s="7"/>
      <c r="Q16" s="8"/>
    </row>
    <row r="17" spans="1:17" x14ac:dyDescent="0.45">
      <c r="A17" s="1">
        <f t="shared" si="2"/>
        <v>5282.715399844863</v>
      </c>
      <c r="B17">
        <f t="shared" si="1"/>
        <v>2</v>
      </c>
      <c r="C17" s="2"/>
      <c r="K17">
        <v>23424.556994429076</v>
      </c>
      <c r="O17" s="6"/>
      <c r="P17" s="7"/>
      <c r="Q17" s="8"/>
    </row>
    <row r="18" spans="1:17" x14ac:dyDescent="0.45">
      <c r="A18" s="1">
        <f t="shared" si="2"/>
        <v>6603.3942498060787</v>
      </c>
      <c r="B18">
        <f t="shared" si="1"/>
        <v>3</v>
      </c>
      <c r="C18" s="2"/>
      <c r="K18">
        <v>28742.923069752331</v>
      </c>
      <c r="O18" s="6"/>
      <c r="P18" s="7"/>
      <c r="Q18" s="8"/>
    </row>
    <row r="19" spans="1:17" x14ac:dyDescent="0.45">
      <c r="A19" s="1">
        <f t="shared" si="2"/>
        <v>7924.0730997672945</v>
      </c>
      <c r="B19">
        <f t="shared" si="1"/>
        <v>6</v>
      </c>
      <c r="C19" s="2"/>
      <c r="K19">
        <v>38137.966391595837</v>
      </c>
      <c r="O19" s="6"/>
      <c r="P19" s="7"/>
      <c r="Q19" s="8"/>
    </row>
    <row r="20" spans="1:17" x14ac:dyDescent="0.45">
      <c r="A20" s="1">
        <f t="shared" si="2"/>
        <v>9244.7519497285102</v>
      </c>
      <c r="B20">
        <f t="shared" si="1"/>
        <v>7</v>
      </c>
      <c r="C20" s="2"/>
      <c r="K20">
        <v>22413.416984022035</v>
      </c>
      <c r="O20" s="9"/>
      <c r="P20" s="10"/>
      <c r="Q20" s="11"/>
    </row>
    <row r="21" spans="1:17" x14ac:dyDescent="0.45">
      <c r="A21" s="1">
        <f t="shared" si="2"/>
        <v>10565.430799689726</v>
      </c>
      <c r="B21">
        <f t="shared" si="1"/>
        <v>11</v>
      </c>
      <c r="C21" s="2"/>
      <c r="K21">
        <v>34124.101671858079</v>
      </c>
    </row>
    <row r="22" spans="1:17" x14ac:dyDescent="0.45">
      <c r="A22" s="1">
        <f t="shared" si="2"/>
        <v>11886.109649650942</v>
      </c>
      <c r="B22">
        <f t="shared" si="1"/>
        <v>17</v>
      </c>
      <c r="C22" s="2"/>
      <c r="K22">
        <v>45531.960172584448</v>
      </c>
    </row>
    <row r="23" spans="1:17" x14ac:dyDescent="0.45">
      <c r="A23" s="1">
        <f t="shared" si="2"/>
        <v>13206.788499612157</v>
      </c>
      <c r="B23">
        <f t="shared" si="1"/>
        <v>8</v>
      </c>
      <c r="C23" s="2"/>
      <c r="K23">
        <v>32600.225451695893</v>
      </c>
    </row>
    <row r="24" spans="1:17" x14ac:dyDescent="0.45">
      <c r="A24" s="1">
        <f t="shared" si="2"/>
        <v>14527.467349573373</v>
      </c>
      <c r="B24">
        <f t="shared" si="1"/>
        <v>9</v>
      </c>
      <c r="C24" s="2"/>
      <c r="K24">
        <v>34995.287716840416</v>
      </c>
    </row>
    <row r="25" spans="1:17" x14ac:dyDescent="0.45">
      <c r="A25" s="1">
        <f t="shared" si="2"/>
        <v>15848.146199534589</v>
      </c>
      <c r="B25">
        <f t="shared" si="1"/>
        <v>24</v>
      </c>
      <c r="C25" s="2"/>
      <c r="K25">
        <v>1330.502425684128</v>
      </c>
    </row>
    <row r="26" spans="1:17" x14ac:dyDescent="0.45">
      <c r="A26" s="1">
        <f t="shared" si="2"/>
        <v>17168.825049495805</v>
      </c>
      <c r="B26">
        <f t="shared" si="1"/>
        <v>20</v>
      </c>
      <c r="C26" s="2"/>
      <c r="K26">
        <v>33848.170907453517</v>
      </c>
    </row>
    <row r="27" spans="1:17" x14ac:dyDescent="0.45">
      <c r="A27" s="1">
        <f t="shared" si="2"/>
        <v>18489.50389945702</v>
      </c>
      <c r="B27">
        <f t="shared" si="1"/>
        <v>30</v>
      </c>
      <c r="C27" s="2"/>
      <c r="K27">
        <v>40037.635339114007</v>
      </c>
    </row>
    <row r="28" spans="1:17" x14ac:dyDescent="0.45">
      <c r="A28" s="1">
        <f t="shared" si="2"/>
        <v>19810.182749418236</v>
      </c>
      <c r="B28">
        <f t="shared" si="1"/>
        <v>23</v>
      </c>
      <c r="C28" s="2"/>
      <c r="K28">
        <v>49150.466115201314</v>
      </c>
    </row>
    <row r="29" spans="1:17" x14ac:dyDescent="0.45">
      <c r="A29" s="1">
        <f t="shared" si="2"/>
        <v>21130.861599379452</v>
      </c>
      <c r="B29">
        <f t="shared" si="1"/>
        <v>24</v>
      </c>
      <c r="C29" s="2"/>
      <c r="K29">
        <v>26006.345449524397</v>
      </c>
    </row>
    <row r="30" spans="1:17" x14ac:dyDescent="0.45">
      <c r="A30" s="1">
        <f t="shared" si="2"/>
        <v>22451.540449340668</v>
      </c>
      <c r="B30">
        <f t="shared" si="1"/>
        <v>34</v>
      </c>
      <c r="C30" s="2"/>
      <c r="K30">
        <v>16857.699272834965</v>
      </c>
    </row>
    <row r="31" spans="1:17" x14ac:dyDescent="0.45">
      <c r="A31" s="1">
        <f t="shared" si="2"/>
        <v>23772.219299301883</v>
      </c>
      <c r="B31">
        <f t="shared" si="1"/>
        <v>35</v>
      </c>
      <c r="C31" s="2"/>
      <c r="K31">
        <v>45316.326397179459</v>
      </c>
    </row>
    <row r="32" spans="1:17" x14ac:dyDescent="0.45">
      <c r="A32" s="1">
        <f t="shared" si="2"/>
        <v>25092.898149263099</v>
      </c>
      <c r="B32">
        <f t="shared" si="1"/>
        <v>49</v>
      </c>
      <c r="C32" s="2"/>
      <c r="K32">
        <v>25150.544555823868</v>
      </c>
    </row>
    <row r="33" spans="1:11" x14ac:dyDescent="0.45">
      <c r="A33" s="1">
        <f t="shared" si="2"/>
        <v>26413.576999224315</v>
      </c>
      <c r="B33">
        <f t="shared" si="1"/>
        <v>55</v>
      </c>
      <c r="C33" s="2"/>
      <c r="K33">
        <v>24602.872993912119</v>
      </c>
    </row>
    <row r="34" spans="1:11" x14ac:dyDescent="0.45">
      <c r="A34" s="1">
        <f t="shared" si="2"/>
        <v>27734.255849185531</v>
      </c>
      <c r="B34">
        <f t="shared" si="1"/>
        <v>43</v>
      </c>
      <c r="C34" s="2"/>
      <c r="K34">
        <v>27107.271224118696</v>
      </c>
    </row>
    <row r="35" spans="1:11" x14ac:dyDescent="0.45">
      <c r="A35" s="1">
        <f t="shared" si="2"/>
        <v>29054.934699146746</v>
      </c>
      <c r="B35">
        <f t="shared" si="1"/>
        <v>39</v>
      </c>
      <c r="C35" s="2"/>
      <c r="K35">
        <v>21502.994067509033</v>
      </c>
    </row>
    <row r="36" spans="1:11" x14ac:dyDescent="0.45">
      <c r="A36" s="1">
        <f t="shared" si="2"/>
        <v>30375.613549107962</v>
      </c>
      <c r="B36">
        <f t="shared" si="1"/>
        <v>45</v>
      </c>
      <c r="C36" s="2"/>
      <c r="K36">
        <v>38041.954161406175</v>
      </c>
    </row>
    <row r="37" spans="1:11" x14ac:dyDescent="0.45">
      <c r="A37" s="1">
        <f t="shared" si="2"/>
        <v>31696.292399069178</v>
      </c>
      <c r="B37">
        <f t="shared" si="1"/>
        <v>51</v>
      </c>
      <c r="C37" s="2"/>
      <c r="K37">
        <v>17230.887875893204</v>
      </c>
    </row>
    <row r="38" spans="1:11" x14ac:dyDescent="0.45">
      <c r="A38" s="1">
        <f t="shared" si="2"/>
        <v>33016.971249030394</v>
      </c>
      <c r="B38">
        <f t="shared" si="1"/>
        <v>41</v>
      </c>
      <c r="C38" s="2"/>
      <c r="K38">
        <v>20891.169522159671</v>
      </c>
    </row>
    <row r="39" spans="1:11" x14ac:dyDescent="0.45">
      <c r="A39" s="1">
        <f t="shared" si="2"/>
        <v>34337.650098991609</v>
      </c>
      <c r="B39">
        <f t="shared" si="1"/>
        <v>45</v>
      </c>
      <c r="C39" s="2"/>
      <c r="K39">
        <v>39803.50340745534</v>
      </c>
    </row>
    <row r="40" spans="1:11" x14ac:dyDescent="0.45">
      <c r="A40" s="1">
        <f t="shared" si="2"/>
        <v>35658.328948952825</v>
      </c>
      <c r="B40">
        <f t="shared" si="1"/>
        <v>48</v>
      </c>
      <c r="C40" s="2"/>
      <c r="K40">
        <v>43183.931976483749</v>
      </c>
    </row>
    <row r="41" spans="1:11" x14ac:dyDescent="0.45">
      <c r="A41" s="1">
        <f t="shared" si="2"/>
        <v>36979.007798914041</v>
      </c>
      <c r="B41">
        <f t="shared" si="1"/>
        <v>43</v>
      </c>
      <c r="C41" s="2"/>
      <c r="K41">
        <v>23292.030654070801</v>
      </c>
    </row>
    <row r="42" spans="1:11" x14ac:dyDescent="0.45">
      <c r="A42" s="1">
        <f t="shared" si="2"/>
        <v>38299.686648875257</v>
      </c>
      <c r="B42">
        <f t="shared" si="1"/>
        <v>30</v>
      </c>
      <c r="C42" s="2"/>
      <c r="K42">
        <v>36854.056995748775</v>
      </c>
    </row>
    <row r="43" spans="1:11" x14ac:dyDescent="0.45">
      <c r="A43" s="1">
        <f t="shared" si="2"/>
        <v>39620.365498836472</v>
      </c>
      <c r="B43">
        <f t="shared" si="1"/>
        <v>40</v>
      </c>
      <c r="C43" s="2"/>
      <c r="K43">
        <v>31653.149419079178</v>
      </c>
    </row>
    <row r="44" spans="1:11" x14ac:dyDescent="0.45">
      <c r="A44" s="1">
        <f t="shared" si="2"/>
        <v>40941.044348797688</v>
      </c>
      <c r="B44">
        <f t="shared" si="1"/>
        <v>29</v>
      </c>
      <c r="C44" s="2"/>
      <c r="K44">
        <v>6380.4179148434632</v>
      </c>
    </row>
    <row r="45" spans="1:11" x14ac:dyDescent="0.45">
      <c r="A45" s="1">
        <f t="shared" si="2"/>
        <v>42261.723198758904</v>
      </c>
      <c r="B45">
        <f t="shared" si="1"/>
        <v>26</v>
      </c>
      <c r="C45" s="2"/>
      <c r="K45">
        <v>28026.971425787629</v>
      </c>
    </row>
    <row r="46" spans="1:11" x14ac:dyDescent="0.45">
      <c r="A46" s="1">
        <f t="shared" si="2"/>
        <v>43582.40204872012</v>
      </c>
      <c r="B46">
        <f t="shared" si="1"/>
        <v>28</v>
      </c>
      <c r="C46" s="2"/>
      <c r="K46">
        <v>25007.266607766273</v>
      </c>
    </row>
    <row r="47" spans="1:11" x14ac:dyDescent="0.45">
      <c r="A47" s="1">
        <f t="shared" si="2"/>
        <v>44903.080898681335</v>
      </c>
      <c r="B47">
        <f t="shared" si="1"/>
        <v>22</v>
      </c>
      <c r="C47" s="2"/>
      <c r="K47">
        <v>35717.467623708922</v>
      </c>
    </row>
    <row r="48" spans="1:11" x14ac:dyDescent="0.45">
      <c r="A48" s="1">
        <f t="shared" si="2"/>
        <v>46223.759748642551</v>
      </c>
      <c r="B48">
        <f t="shared" si="1"/>
        <v>23</v>
      </c>
      <c r="C48" s="2"/>
      <c r="K48">
        <v>40332.530556505226</v>
      </c>
    </row>
    <row r="49" spans="1:11" x14ac:dyDescent="0.45">
      <c r="A49" s="1">
        <f t="shared" si="2"/>
        <v>47544.438598603767</v>
      </c>
      <c r="B49">
        <f t="shared" si="1"/>
        <v>15</v>
      </c>
      <c r="C49" s="2"/>
      <c r="K49">
        <v>45739.070144234196</v>
      </c>
    </row>
    <row r="50" spans="1:11" x14ac:dyDescent="0.45">
      <c r="A50" s="1">
        <f t="shared" si="2"/>
        <v>48865.117448564983</v>
      </c>
      <c r="B50">
        <f t="shared" si="1"/>
        <v>16</v>
      </c>
      <c r="C50" s="2"/>
      <c r="K50">
        <v>26669.438012638493</v>
      </c>
    </row>
    <row r="51" spans="1:11" x14ac:dyDescent="0.45">
      <c r="A51" s="1">
        <f t="shared" si="2"/>
        <v>50185.796298526198</v>
      </c>
      <c r="B51">
        <f t="shared" si="1"/>
        <v>7</v>
      </c>
      <c r="C51" s="2"/>
      <c r="K51">
        <v>33475.558221143889</v>
      </c>
    </row>
    <row r="52" spans="1:11" x14ac:dyDescent="0.45">
      <c r="A52" s="1">
        <f t="shared" si="2"/>
        <v>51506.475148487414</v>
      </c>
      <c r="B52">
        <f t="shared" si="1"/>
        <v>4</v>
      </c>
      <c r="C52" s="2"/>
      <c r="K52">
        <v>44229.335337054115</v>
      </c>
    </row>
    <row r="53" spans="1:11" x14ac:dyDescent="0.45">
      <c r="A53" s="1">
        <f t="shared" si="2"/>
        <v>52827.15399844863</v>
      </c>
      <c r="B53">
        <f t="shared" si="1"/>
        <v>10</v>
      </c>
      <c r="C53" s="2"/>
      <c r="K53">
        <v>49123.958013443647</v>
      </c>
    </row>
    <row r="54" spans="1:11" x14ac:dyDescent="0.45">
      <c r="A54" s="1">
        <f t="shared" si="2"/>
        <v>54147.832848409846</v>
      </c>
      <c r="B54">
        <f t="shared" si="1"/>
        <v>8</v>
      </c>
      <c r="C54" s="2"/>
      <c r="K54">
        <v>24300.152187962754</v>
      </c>
    </row>
    <row r="55" spans="1:11" x14ac:dyDescent="0.45">
      <c r="A55" s="1">
        <f t="shared" si="2"/>
        <v>55468.511698371061</v>
      </c>
      <c r="B55">
        <f t="shared" si="1"/>
        <v>3</v>
      </c>
      <c r="C55" s="2"/>
      <c r="K55">
        <v>45211.446929799553</v>
      </c>
    </row>
    <row r="56" spans="1:11" x14ac:dyDescent="0.45">
      <c r="A56" s="1">
        <f t="shared" si="2"/>
        <v>56789.190548332277</v>
      </c>
      <c r="B56">
        <f t="shared" si="1"/>
        <v>4</v>
      </c>
      <c r="C56" s="2"/>
      <c r="K56">
        <v>25654.586415133035</v>
      </c>
    </row>
    <row r="57" spans="1:11" x14ac:dyDescent="0.45">
      <c r="A57" s="1">
        <f t="shared" si="2"/>
        <v>58109.869398293493</v>
      </c>
      <c r="B57">
        <f t="shared" si="1"/>
        <v>5</v>
      </c>
      <c r="C57" s="2"/>
      <c r="K57">
        <v>28868.648113638774</v>
      </c>
    </row>
    <row r="58" spans="1:11" x14ac:dyDescent="0.45">
      <c r="A58" s="1">
        <f t="shared" si="2"/>
        <v>59430.548248254709</v>
      </c>
      <c r="B58">
        <f t="shared" si="1"/>
        <v>1</v>
      </c>
      <c r="C58" s="2"/>
      <c r="K58">
        <v>38329.314141998257</v>
      </c>
    </row>
    <row r="59" spans="1:11" x14ac:dyDescent="0.45">
      <c r="A59" s="1">
        <f t="shared" si="2"/>
        <v>60751.227098215924</v>
      </c>
      <c r="B59">
        <f t="shared" si="1"/>
        <v>0</v>
      </c>
      <c r="C59" s="2"/>
      <c r="K59">
        <v>36312.311747436594</v>
      </c>
    </row>
    <row r="60" spans="1:11" x14ac:dyDescent="0.45">
      <c r="A60" s="1">
        <f t="shared" si="2"/>
        <v>62071.90594817714</v>
      </c>
      <c r="B60">
        <f t="shared" si="1"/>
        <v>1</v>
      </c>
      <c r="C60" s="2"/>
      <c r="K60">
        <v>14966.474552321542</v>
      </c>
    </row>
    <row r="61" spans="1:11" x14ac:dyDescent="0.45">
      <c r="A61" s="1">
        <f t="shared" si="2"/>
        <v>63392.584798138356</v>
      </c>
      <c r="B61">
        <f t="shared" si="1"/>
        <v>2</v>
      </c>
      <c r="C61" s="2"/>
      <c r="K61">
        <v>45247.014701529115</v>
      </c>
    </row>
    <row r="62" spans="1:11" x14ac:dyDescent="0.45">
      <c r="A62" s="1">
        <f t="shared" si="2"/>
        <v>64713.263648099572</v>
      </c>
      <c r="B62">
        <f t="shared" si="1"/>
        <v>1</v>
      </c>
      <c r="C62" s="2"/>
      <c r="K62">
        <v>38467.884289942776</v>
      </c>
    </row>
    <row r="63" spans="1:11" x14ac:dyDescent="0.45">
      <c r="A63" s="1">
        <f t="shared" si="2"/>
        <v>66033.942498060787</v>
      </c>
      <c r="B63">
        <f>COUNTIFS($K$1:$K$1000,"&gt;="&amp; A63,$K$1:$K$1000,"&lt;"&amp; A64)</f>
        <v>0</v>
      </c>
      <c r="C63" s="2"/>
      <c r="K63">
        <v>27941.232308554787</v>
      </c>
    </row>
    <row r="64" spans="1:11" x14ac:dyDescent="0.45">
      <c r="B64">
        <f>SUM(B13:B63)</f>
        <v>1000</v>
      </c>
      <c r="C64" s="2"/>
      <c r="K64">
        <v>32609.503523799234</v>
      </c>
    </row>
    <row r="65" spans="3:11" x14ac:dyDescent="0.45">
      <c r="C65" s="2"/>
      <c r="K65">
        <v>34224.593065519162</v>
      </c>
    </row>
    <row r="66" spans="3:11" x14ac:dyDescent="0.45">
      <c r="C66" s="2"/>
      <c r="K66">
        <v>33235.733128303087</v>
      </c>
    </row>
    <row r="67" spans="3:11" x14ac:dyDescent="0.45">
      <c r="C67" s="2"/>
      <c r="K67">
        <v>54096.229978238363</v>
      </c>
    </row>
    <row r="68" spans="3:11" x14ac:dyDescent="0.45">
      <c r="C68" s="2"/>
      <c r="K68">
        <v>12147.237630499851</v>
      </c>
    </row>
    <row r="69" spans="3:11" x14ac:dyDescent="0.45">
      <c r="C69" s="2"/>
      <c r="K69">
        <v>30519.213327909212</v>
      </c>
    </row>
    <row r="70" spans="3:11" x14ac:dyDescent="0.45">
      <c r="C70" s="2"/>
      <c r="K70">
        <v>28283.121511405701</v>
      </c>
    </row>
    <row r="71" spans="3:11" x14ac:dyDescent="0.45">
      <c r="C71" s="2"/>
      <c r="K71">
        <v>38613.452497835722</v>
      </c>
    </row>
    <row r="72" spans="3:11" x14ac:dyDescent="0.45">
      <c r="C72" s="2"/>
      <c r="K72">
        <v>31937.128568590393</v>
      </c>
    </row>
    <row r="73" spans="3:11" x14ac:dyDescent="0.45">
      <c r="C73" s="2"/>
      <c r="K73">
        <v>35372.790564453477</v>
      </c>
    </row>
    <row r="74" spans="3:11" x14ac:dyDescent="0.45">
      <c r="C74" s="2"/>
      <c r="K74">
        <v>20239.301378901073</v>
      </c>
    </row>
    <row r="75" spans="3:11" x14ac:dyDescent="0.45">
      <c r="C75" s="2"/>
      <c r="K75">
        <v>33761.094600551078</v>
      </c>
    </row>
    <row r="76" spans="3:11" x14ac:dyDescent="0.45">
      <c r="C76" s="2"/>
      <c r="K76">
        <v>37800.604833697798</v>
      </c>
    </row>
    <row r="77" spans="3:11" x14ac:dyDescent="0.45">
      <c r="C77" s="2"/>
      <c r="K77">
        <v>27028.731579574211</v>
      </c>
    </row>
    <row r="78" spans="3:11" x14ac:dyDescent="0.45">
      <c r="C78" s="2"/>
      <c r="K78">
        <v>21742.762151278122</v>
      </c>
    </row>
    <row r="79" spans="3:11" x14ac:dyDescent="0.45">
      <c r="C79" s="2"/>
      <c r="K79">
        <v>15888.586061067319</v>
      </c>
    </row>
    <row r="80" spans="3:11" x14ac:dyDescent="0.45">
      <c r="C80" s="2"/>
      <c r="K80">
        <v>15365.092599584459</v>
      </c>
    </row>
    <row r="81" spans="3:11" x14ac:dyDescent="0.45">
      <c r="C81" s="2"/>
      <c r="K81">
        <v>34504.100802900488</v>
      </c>
    </row>
    <row r="82" spans="3:11" x14ac:dyDescent="0.45">
      <c r="C82" s="2"/>
      <c r="K82">
        <v>19923.35371231044</v>
      </c>
    </row>
    <row r="83" spans="3:11" x14ac:dyDescent="0.45">
      <c r="C83" s="2"/>
      <c r="K83">
        <v>41871.517013308898</v>
      </c>
    </row>
    <row r="84" spans="3:11" x14ac:dyDescent="0.45">
      <c r="K84">
        <v>42149.851801990029</v>
      </c>
    </row>
    <row r="85" spans="3:11" x14ac:dyDescent="0.45">
      <c r="K85">
        <v>20913.392541771263</v>
      </c>
    </row>
    <row r="86" spans="3:11" x14ac:dyDescent="0.45">
      <c r="K86">
        <v>39865.297194891515</v>
      </c>
    </row>
    <row r="87" spans="3:11" x14ac:dyDescent="0.45">
      <c r="K87">
        <v>0</v>
      </c>
    </row>
    <row r="88" spans="3:11" x14ac:dyDescent="0.45">
      <c r="K88">
        <v>30010.021692079958</v>
      </c>
    </row>
    <row r="89" spans="3:11" x14ac:dyDescent="0.45">
      <c r="K89">
        <v>25804.216857045107</v>
      </c>
    </row>
    <row r="90" spans="3:11" x14ac:dyDescent="0.45">
      <c r="K90">
        <v>27078.50004032502</v>
      </c>
    </row>
    <row r="91" spans="3:11" x14ac:dyDescent="0.45">
      <c r="K91">
        <v>18897.241196776613</v>
      </c>
    </row>
    <row r="92" spans="3:11" x14ac:dyDescent="0.45">
      <c r="K92">
        <v>52260.289341843309</v>
      </c>
    </row>
    <row r="93" spans="3:11" x14ac:dyDescent="0.45">
      <c r="K93">
        <v>13532.822391584636</v>
      </c>
    </row>
    <row r="94" spans="3:11" x14ac:dyDescent="0.45">
      <c r="K94">
        <v>46883.452207297974</v>
      </c>
    </row>
    <row r="95" spans="3:11" x14ac:dyDescent="0.45">
      <c r="K95">
        <v>36615.416500114603</v>
      </c>
    </row>
    <row r="96" spans="3:11" x14ac:dyDescent="0.45">
      <c r="K96">
        <v>25719.061815090023</v>
      </c>
    </row>
    <row r="97" spans="11:11" x14ac:dyDescent="0.45">
      <c r="K97">
        <v>49699.891494858719</v>
      </c>
    </row>
    <row r="98" spans="11:11" x14ac:dyDescent="0.45">
      <c r="K98">
        <v>17022.987296175517</v>
      </c>
    </row>
    <row r="99" spans="11:11" x14ac:dyDescent="0.45">
      <c r="K99">
        <v>29816.151447390905</v>
      </c>
    </row>
    <row r="100" spans="11:11" x14ac:dyDescent="0.45">
      <c r="K100">
        <v>40129.677586483449</v>
      </c>
    </row>
    <row r="101" spans="11:11" x14ac:dyDescent="0.45">
      <c r="K101">
        <v>36566.21426535707</v>
      </c>
    </row>
    <row r="102" spans="11:11" x14ac:dyDescent="0.45">
      <c r="K102">
        <v>14798.798856620728</v>
      </c>
    </row>
    <row r="103" spans="11:11" x14ac:dyDescent="0.45">
      <c r="K103">
        <v>26508.423424702261</v>
      </c>
    </row>
    <row r="104" spans="11:11" x14ac:dyDescent="0.45">
      <c r="K104">
        <v>23885.659244964307</v>
      </c>
    </row>
    <row r="105" spans="11:11" x14ac:dyDescent="0.45">
      <c r="K105">
        <v>30839.055797372865</v>
      </c>
    </row>
    <row r="106" spans="11:11" x14ac:dyDescent="0.45">
      <c r="K106">
        <v>28127.514011921106</v>
      </c>
    </row>
    <row r="107" spans="11:11" x14ac:dyDescent="0.45">
      <c r="K107">
        <v>35592.700285326857</v>
      </c>
    </row>
    <row r="108" spans="11:11" x14ac:dyDescent="0.45">
      <c r="K108">
        <v>55841.406611660663</v>
      </c>
    </row>
    <row r="109" spans="11:11" x14ac:dyDescent="0.45">
      <c r="K109">
        <v>34629.262961836524</v>
      </c>
    </row>
    <row r="110" spans="11:11" x14ac:dyDescent="0.45">
      <c r="K110">
        <v>39451.16267315088</v>
      </c>
    </row>
    <row r="111" spans="11:11" x14ac:dyDescent="0.45">
      <c r="K111">
        <v>23633.55213795941</v>
      </c>
    </row>
    <row r="112" spans="11:11" x14ac:dyDescent="0.45">
      <c r="K112">
        <v>23967.349649111042</v>
      </c>
    </row>
    <row r="113" spans="2:11" x14ac:dyDescent="0.45">
      <c r="K113">
        <v>23593.339223540104</v>
      </c>
    </row>
    <row r="114" spans="2:11" x14ac:dyDescent="0.45">
      <c r="K114">
        <v>12973.372941163154</v>
      </c>
    </row>
    <row r="115" spans="2:11" x14ac:dyDescent="0.45">
      <c r="B115">
        <f>SUM(B13:B114)</f>
        <v>2000</v>
      </c>
      <c r="K115">
        <v>41094.23366025291</v>
      </c>
    </row>
    <row r="116" spans="2:11" x14ac:dyDescent="0.45">
      <c r="K116">
        <v>25868.326237338821</v>
      </c>
    </row>
    <row r="117" spans="2:11" x14ac:dyDescent="0.45">
      <c r="K117">
        <v>31387.567940243131</v>
      </c>
    </row>
    <row r="118" spans="2:11" x14ac:dyDescent="0.45">
      <c r="K118">
        <v>36092.452948577593</v>
      </c>
    </row>
    <row r="119" spans="2:11" x14ac:dyDescent="0.45">
      <c r="K119">
        <v>10718.547960769694</v>
      </c>
    </row>
    <row r="120" spans="2:11" x14ac:dyDescent="0.45">
      <c r="K120">
        <v>24706.701607006733</v>
      </c>
    </row>
    <row r="121" spans="2:11" x14ac:dyDescent="0.45">
      <c r="K121">
        <v>32855.755414458283</v>
      </c>
    </row>
    <row r="122" spans="2:11" x14ac:dyDescent="0.45">
      <c r="K122">
        <v>42679.053025643487</v>
      </c>
    </row>
    <row r="123" spans="2:11" x14ac:dyDescent="0.45">
      <c r="K123">
        <v>25926.412778023983</v>
      </c>
    </row>
    <row r="124" spans="2:11" x14ac:dyDescent="0.45">
      <c r="K124">
        <v>47042.652401429754</v>
      </c>
    </row>
    <row r="125" spans="2:11" x14ac:dyDescent="0.45">
      <c r="K125">
        <v>21082.18705067526</v>
      </c>
    </row>
    <row r="126" spans="2:11" x14ac:dyDescent="0.45">
      <c r="K126">
        <v>32216.956071164939</v>
      </c>
    </row>
    <row r="127" spans="2:11" x14ac:dyDescent="0.45">
      <c r="K127">
        <v>40722.384324785853</v>
      </c>
    </row>
    <row r="128" spans="2:11" x14ac:dyDescent="0.45">
      <c r="K128">
        <v>37764.159766129116</v>
      </c>
    </row>
    <row r="129" spans="11:11" x14ac:dyDescent="0.45">
      <c r="K129">
        <v>34078.317215571638</v>
      </c>
    </row>
    <row r="130" spans="11:11" x14ac:dyDescent="0.45">
      <c r="K130">
        <v>38389.626443849615</v>
      </c>
    </row>
    <row r="131" spans="11:11" x14ac:dyDescent="0.45">
      <c r="K131">
        <v>17462.875004494181</v>
      </c>
    </row>
    <row r="132" spans="11:11" x14ac:dyDescent="0.45">
      <c r="K132">
        <v>45831.36118064871</v>
      </c>
    </row>
    <row r="133" spans="11:11" x14ac:dyDescent="0.45">
      <c r="K133">
        <v>30953.307813289764</v>
      </c>
    </row>
    <row r="134" spans="11:11" x14ac:dyDescent="0.45">
      <c r="K134">
        <v>51143.289659940128</v>
      </c>
    </row>
    <row r="135" spans="11:11" x14ac:dyDescent="0.45">
      <c r="K135">
        <v>34680.923620108959</v>
      </c>
    </row>
    <row r="136" spans="11:11" x14ac:dyDescent="0.45">
      <c r="K136">
        <v>23452.017722924058</v>
      </c>
    </row>
    <row r="137" spans="11:11" x14ac:dyDescent="0.45">
      <c r="K137">
        <v>12829.649945572393</v>
      </c>
    </row>
    <row r="138" spans="11:11" x14ac:dyDescent="0.45">
      <c r="K138">
        <v>53321.815851846259</v>
      </c>
    </row>
    <row r="139" spans="11:11" x14ac:dyDescent="0.45">
      <c r="K139">
        <v>26598.762956111634</v>
      </c>
    </row>
    <row r="140" spans="11:11" x14ac:dyDescent="0.45">
      <c r="K140">
        <v>31155.797891771981</v>
      </c>
    </row>
    <row r="141" spans="11:11" x14ac:dyDescent="0.45">
      <c r="K141">
        <v>26411.05274307025</v>
      </c>
    </row>
    <row r="142" spans="11:11" x14ac:dyDescent="0.45">
      <c r="K142">
        <v>17318.873368473571</v>
      </c>
    </row>
    <row r="143" spans="11:11" x14ac:dyDescent="0.45">
      <c r="K143">
        <v>48590.598686469282</v>
      </c>
    </row>
    <row r="144" spans="11:11" x14ac:dyDescent="0.45">
      <c r="K144">
        <v>54641.322705488215</v>
      </c>
    </row>
    <row r="145" spans="11:11" x14ac:dyDescent="0.45">
      <c r="K145">
        <v>27598.785769654933</v>
      </c>
    </row>
    <row r="146" spans="11:11" x14ac:dyDescent="0.45">
      <c r="K146">
        <v>28388.84827110999</v>
      </c>
    </row>
    <row r="147" spans="11:11" x14ac:dyDescent="0.45">
      <c r="K147">
        <v>19453.240649248655</v>
      </c>
    </row>
    <row r="148" spans="11:11" x14ac:dyDescent="0.45">
      <c r="K148">
        <v>36886.528886943037</v>
      </c>
    </row>
    <row r="149" spans="11:11" x14ac:dyDescent="0.45">
      <c r="K149">
        <v>25553.104723361554</v>
      </c>
    </row>
    <row r="150" spans="11:11" x14ac:dyDescent="0.45">
      <c r="K150">
        <v>32667.372426687183</v>
      </c>
    </row>
    <row r="151" spans="11:11" x14ac:dyDescent="0.45">
      <c r="K151">
        <v>31903.96264367086</v>
      </c>
    </row>
    <row r="152" spans="11:11" x14ac:dyDescent="0.45">
      <c r="K152">
        <v>16289.62427747139</v>
      </c>
    </row>
    <row r="153" spans="11:11" x14ac:dyDescent="0.45">
      <c r="K153">
        <v>27648.601623279705</v>
      </c>
    </row>
    <row r="154" spans="11:11" x14ac:dyDescent="0.45">
      <c r="K154">
        <v>44414.356076690361</v>
      </c>
    </row>
    <row r="155" spans="11:11" x14ac:dyDescent="0.45">
      <c r="K155">
        <v>26136.444659721907</v>
      </c>
    </row>
    <row r="156" spans="11:11" x14ac:dyDescent="0.45">
      <c r="K156">
        <v>11615.402165939144</v>
      </c>
    </row>
    <row r="157" spans="11:11" x14ac:dyDescent="0.45">
      <c r="K157">
        <v>35586.554140875021</v>
      </c>
    </row>
    <row r="158" spans="11:11" x14ac:dyDescent="0.45">
      <c r="K158">
        <v>16589.866006645752</v>
      </c>
    </row>
    <row r="159" spans="11:11" x14ac:dyDescent="0.45">
      <c r="K159">
        <v>24191.113769884923</v>
      </c>
    </row>
    <row r="160" spans="11:11" x14ac:dyDescent="0.45">
      <c r="K160">
        <v>38506.047677578215</v>
      </c>
    </row>
    <row r="161" spans="11:11" x14ac:dyDescent="0.45">
      <c r="K161">
        <v>0</v>
      </c>
    </row>
    <row r="162" spans="11:11" x14ac:dyDescent="0.45">
      <c r="K162">
        <v>45875.574061311214</v>
      </c>
    </row>
    <row r="163" spans="11:11" x14ac:dyDescent="0.45">
      <c r="K163">
        <v>36872.841273546161</v>
      </c>
    </row>
    <row r="164" spans="11:11" x14ac:dyDescent="0.45">
      <c r="K164">
        <v>31436.772650452778</v>
      </c>
    </row>
    <row r="165" spans="11:11" x14ac:dyDescent="0.45">
      <c r="K165">
        <v>39612.48569272687</v>
      </c>
    </row>
    <row r="166" spans="11:11" x14ac:dyDescent="0.45">
      <c r="K166">
        <v>28401.658876236368</v>
      </c>
    </row>
    <row r="167" spans="11:11" x14ac:dyDescent="0.45">
      <c r="K167">
        <v>39190.635307402146</v>
      </c>
    </row>
    <row r="168" spans="11:11" x14ac:dyDescent="0.45">
      <c r="K168">
        <v>43890.897395963591</v>
      </c>
    </row>
    <row r="169" spans="11:11" x14ac:dyDescent="0.45">
      <c r="K169">
        <v>31827.784036975787</v>
      </c>
    </row>
    <row r="170" spans="11:11" x14ac:dyDescent="0.45">
      <c r="K170">
        <v>9963.2448215688855</v>
      </c>
    </row>
    <row r="171" spans="11:11" x14ac:dyDescent="0.45">
      <c r="K171">
        <v>37142.694348809477</v>
      </c>
    </row>
    <row r="172" spans="11:11" x14ac:dyDescent="0.45">
      <c r="K172">
        <v>44512.80636785469</v>
      </c>
    </row>
    <row r="173" spans="11:11" x14ac:dyDescent="0.45">
      <c r="K173">
        <v>30519.474744599702</v>
      </c>
    </row>
    <row r="174" spans="11:11" x14ac:dyDescent="0.45">
      <c r="K174">
        <v>31936.605715251495</v>
      </c>
    </row>
    <row r="175" spans="11:11" x14ac:dyDescent="0.45">
      <c r="K175">
        <v>30080.560092177369</v>
      </c>
    </row>
    <row r="176" spans="11:11" x14ac:dyDescent="0.45">
      <c r="K176">
        <v>39052.948320672665</v>
      </c>
    </row>
    <row r="177" spans="11:11" x14ac:dyDescent="0.45">
      <c r="K177">
        <v>34191.239443313076</v>
      </c>
    </row>
    <row r="178" spans="11:11" x14ac:dyDescent="0.45">
      <c r="K178">
        <v>28221.521383688072</v>
      </c>
    </row>
    <row r="179" spans="11:11" x14ac:dyDescent="0.45">
      <c r="K179">
        <v>23650.088402167952</v>
      </c>
    </row>
    <row r="180" spans="11:11" x14ac:dyDescent="0.45">
      <c r="K180">
        <v>53787.930512016283</v>
      </c>
    </row>
    <row r="181" spans="11:11" x14ac:dyDescent="0.45">
      <c r="K181">
        <v>29400.000673021175</v>
      </c>
    </row>
    <row r="182" spans="11:11" x14ac:dyDescent="0.45">
      <c r="K182">
        <v>30044.425830949982</v>
      </c>
    </row>
    <row r="183" spans="11:11" x14ac:dyDescent="0.45">
      <c r="K183">
        <v>49221.209574108318</v>
      </c>
    </row>
    <row r="184" spans="11:11" x14ac:dyDescent="0.45">
      <c r="K184">
        <v>34685.845593714213</v>
      </c>
    </row>
    <row r="185" spans="11:11" x14ac:dyDescent="0.45">
      <c r="K185">
        <v>38531.569124926427</v>
      </c>
    </row>
    <row r="186" spans="11:11" x14ac:dyDescent="0.45">
      <c r="K186">
        <v>32955.031238317366</v>
      </c>
    </row>
    <row r="187" spans="11:11" x14ac:dyDescent="0.45">
      <c r="K187">
        <v>44792.274751500758</v>
      </c>
    </row>
    <row r="188" spans="11:11" x14ac:dyDescent="0.45">
      <c r="K188">
        <v>36103.539817981917</v>
      </c>
    </row>
    <row r="189" spans="11:11" x14ac:dyDescent="0.45">
      <c r="K189">
        <v>30301.866694848683</v>
      </c>
    </row>
    <row r="190" spans="11:11" x14ac:dyDescent="0.45">
      <c r="K190">
        <v>46739.926740681709</v>
      </c>
    </row>
    <row r="191" spans="11:11" x14ac:dyDescent="0.45">
      <c r="K191">
        <v>29120.568374387483</v>
      </c>
    </row>
    <row r="192" spans="11:11" x14ac:dyDescent="0.45">
      <c r="K192">
        <v>43274.547848307746</v>
      </c>
    </row>
    <row r="193" spans="11:11" x14ac:dyDescent="0.45">
      <c r="K193">
        <v>38099.352783944923</v>
      </c>
    </row>
    <row r="194" spans="11:11" x14ac:dyDescent="0.45">
      <c r="K194">
        <v>9414.2397192742101</v>
      </c>
    </row>
    <row r="195" spans="11:11" x14ac:dyDescent="0.45">
      <c r="K195">
        <v>9795.007285926331</v>
      </c>
    </row>
    <row r="196" spans="11:11" x14ac:dyDescent="0.45">
      <c r="K196">
        <v>12974.330164818162</v>
      </c>
    </row>
    <row r="197" spans="11:11" x14ac:dyDescent="0.45">
      <c r="K197">
        <v>25006.132333047826</v>
      </c>
    </row>
    <row r="198" spans="11:11" x14ac:dyDescent="0.45">
      <c r="K198">
        <v>39762.724695877318</v>
      </c>
    </row>
    <row r="199" spans="11:11" x14ac:dyDescent="0.45">
      <c r="K199">
        <v>38241.004293340811</v>
      </c>
    </row>
    <row r="200" spans="11:11" x14ac:dyDescent="0.45">
      <c r="K200">
        <v>27523.269366416273</v>
      </c>
    </row>
    <row r="201" spans="11:11" x14ac:dyDescent="0.45">
      <c r="K201">
        <v>55169.523595066901</v>
      </c>
    </row>
    <row r="202" spans="11:11" x14ac:dyDescent="0.45">
      <c r="K202">
        <v>41781.945322194646</v>
      </c>
    </row>
    <row r="203" spans="11:11" x14ac:dyDescent="0.45">
      <c r="K203">
        <v>39372.06206550049</v>
      </c>
    </row>
    <row r="204" spans="11:11" x14ac:dyDescent="0.45">
      <c r="K204">
        <v>23387.550487541179</v>
      </c>
    </row>
    <row r="205" spans="11:11" x14ac:dyDescent="0.45">
      <c r="K205">
        <v>30753.911318995819</v>
      </c>
    </row>
    <row r="206" spans="11:11" x14ac:dyDescent="0.45">
      <c r="K206">
        <v>7082.6315998920327</v>
      </c>
    </row>
    <row r="207" spans="11:11" x14ac:dyDescent="0.45">
      <c r="K207">
        <v>23042.884724960328</v>
      </c>
    </row>
    <row r="208" spans="11:11" x14ac:dyDescent="0.45">
      <c r="K208">
        <v>26166.778422394276</v>
      </c>
    </row>
    <row r="209" spans="11:11" x14ac:dyDescent="0.45">
      <c r="K209">
        <v>37974.322053354561</v>
      </c>
    </row>
    <row r="210" spans="11:11" x14ac:dyDescent="0.45">
      <c r="K210">
        <v>12426.042194405043</v>
      </c>
    </row>
    <row r="211" spans="11:11" x14ac:dyDescent="0.45">
      <c r="K211">
        <v>30423.784642092865</v>
      </c>
    </row>
    <row r="212" spans="11:11" x14ac:dyDescent="0.45">
      <c r="K212">
        <v>29141.21648907429</v>
      </c>
    </row>
    <row r="213" spans="11:11" x14ac:dyDescent="0.45">
      <c r="K213">
        <v>33949.670917273645</v>
      </c>
    </row>
    <row r="214" spans="11:11" x14ac:dyDescent="0.45">
      <c r="K214">
        <v>30072.942025908305</v>
      </c>
    </row>
    <row r="215" spans="11:11" x14ac:dyDescent="0.45">
      <c r="K215">
        <v>55286.522064632256</v>
      </c>
    </row>
    <row r="216" spans="11:11" x14ac:dyDescent="0.45">
      <c r="K216">
        <v>2980.1629988263048</v>
      </c>
    </row>
    <row r="217" spans="11:11" x14ac:dyDescent="0.45">
      <c r="K217">
        <v>38299.019880776934</v>
      </c>
    </row>
    <row r="218" spans="11:11" x14ac:dyDescent="0.45">
      <c r="K218">
        <v>28513.280638843589</v>
      </c>
    </row>
    <row r="219" spans="11:11" x14ac:dyDescent="0.45">
      <c r="K219">
        <v>34968.518542129605</v>
      </c>
    </row>
    <row r="220" spans="11:11" x14ac:dyDescent="0.45">
      <c r="K220">
        <v>41062.140666181745</v>
      </c>
    </row>
    <row r="221" spans="11:11" x14ac:dyDescent="0.45">
      <c r="K221">
        <v>11956.550391622572</v>
      </c>
    </row>
    <row r="222" spans="11:11" x14ac:dyDescent="0.45">
      <c r="K222">
        <v>25936.728314996926</v>
      </c>
    </row>
    <row r="223" spans="11:11" x14ac:dyDescent="0.45">
      <c r="K223">
        <v>44698.156379324391</v>
      </c>
    </row>
    <row r="224" spans="11:11" x14ac:dyDescent="0.45">
      <c r="K224">
        <v>5068.2757085505546</v>
      </c>
    </row>
    <row r="225" spans="11:11" x14ac:dyDescent="0.45">
      <c r="K225">
        <v>32367.781462109975</v>
      </c>
    </row>
    <row r="226" spans="11:11" x14ac:dyDescent="0.45">
      <c r="K226">
        <v>26849.11053226858</v>
      </c>
    </row>
    <row r="227" spans="11:11" x14ac:dyDescent="0.45">
      <c r="K227">
        <v>17295.501972675782</v>
      </c>
    </row>
    <row r="228" spans="11:11" x14ac:dyDescent="0.45">
      <c r="K228">
        <v>43980.046169374851</v>
      </c>
    </row>
    <row r="229" spans="11:11" x14ac:dyDescent="0.45">
      <c r="K229">
        <v>25806.050464302229</v>
      </c>
    </row>
    <row r="230" spans="11:11" x14ac:dyDescent="0.45">
      <c r="K230">
        <v>48728.722046790615</v>
      </c>
    </row>
    <row r="231" spans="11:11" x14ac:dyDescent="0.45">
      <c r="K231">
        <v>12822.608190999123</v>
      </c>
    </row>
    <row r="232" spans="11:11" x14ac:dyDescent="0.45">
      <c r="K232">
        <v>21933.980434889636</v>
      </c>
    </row>
    <row r="233" spans="11:11" x14ac:dyDescent="0.45">
      <c r="K233">
        <v>14878.019496246863</v>
      </c>
    </row>
    <row r="234" spans="11:11" x14ac:dyDescent="0.45">
      <c r="K234">
        <v>34676.839470317267</v>
      </c>
    </row>
    <row r="235" spans="11:11" x14ac:dyDescent="0.45">
      <c r="K235">
        <v>31474.497522584385</v>
      </c>
    </row>
    <row r="236" spans="11:11" x14ac:dyDescent="0.45">
      <c r="K236">
        <v>25870.52401140214</v>
      </c>
    </row>
    <row r="237" spans="11:11" x14ac:dyDescent="0.45">
      <c r="K237">
        <v>27705.11110912458</v>
      </c>
    </row>
    <row r="238" spans="11:11" x14ac:dyDescent="0.45">
      <c r="K238">
        <v>43422.42556361208</v>
      </c>
    </row>
    <row r="239" spans="11:11" x14ac:dyDescent="0.45">
      <c r="K239">
        <v>32018.174096877057</v>
      </c>
    </row>
    <row r="240" spans="11:11" x14ac:dyDescent="0.45">
      <c r="K240">
        <v>17952.636642958645</v>
      </c>
    </row>
    <row r="241" spans="11:11" x14ac:dyDescent="0.45">
      <c r="K241">
        <v>31616.509549698632</v>
      </c>
    </row>
    <row r="242" spans="11:11" x14ac:dyDescent="0.45">
      <c r="K242">
        <v>29125.365315394367</v>
      </c>
    </row>
    <row r="243" spans="11:11" x14ac:dyDescent="0.45">
      <c r="K243">
        <v>41911.179600996213</v>
      </c>
    </row>
    <row r="244" spans="11:11" x14ac:dyDescent="0.45">
      <c r="K244">
        <v>32703.03795346072</v>
      </c>
    </row>
    <row r="245" spans="11:11" x14ac:dyDescent="0.45">
      <c r="K245">
        <v>51616.628671760445</v>
      </c>
    </row>
    <row r="246" spans="11:11" x14ac:dyDescent="0.45">
      <c r="K246">
        <v>26194.902511463151</v>
      </c>
    </row>
    <row r="247" spans="11:11" x14ac:dyDescent="0.45">
      <c r="K247">
        <v>12848.04756543336</v>
      </c>
    </row>
    <row r="248" spans="11:11" x14ac:dyDescent="0.45">
      <c r="K248">
        <v>42300.694778664765</v>
      </c>
    </row>
    <row r="249" spans="11:11" x14ac:dyDescent="0.45">
      <c r="K249">
        <v>27168.042139161578</v>
      </c>
    </row>
    <row r="250" spans="11:11" x14ac:dyDescent="0.45">
      <c r="K250">
        <v>29724.499058436293</v>
      </c>
    </row>
    <row r="251" spans="11:11" x14ac:dyDescent="0.45">
      <c r="K251">
        <v>21460.407334446594</v>
      </c>
    </row>
    <row r="252" spans="11:11" x14ac:dyDescent="0.45">
      <c r="K252">
        <v>17761.239782934135</v>
      </c>
    </row>
    <row r="253" spans="11:11" x14ac:dyDescent="0.45">
      <c r="K253">
        <v>37230.598951271852</v>
      </c>
    </row>
    <row r="254" spans="11:11" x14ac:dyDescent="0.45">
      <c r="K254">
        <v>27291.739701202976</v>
      </c>
    </row>
    <row r="255" spans="11:11" x14ac:dyDescent="0.45">
      <c r="K255">
        <v>32961.187367889106</v>
      </c>
    </row>
    <row r="256" spans="11:11" x14ac:dyDescent="0.45">
      <c r="K256">
        <v>43448.139835423048</v>
      </c>
    </row>
    <row r="257" spans="11:11" x14ac:dyDescent="0.45">
      <c r="K257">
        <v>29930.184656463272</v>
      </c>
    </row>
    <row r="258" spans="11:11" x14ac:dyDescent="0.45">
      <c r="K258">
        <v>29375.057369376278</v>
      </c>
    </row>
    <row r="259" spans="11:11" x14ac:dyDescent="0.45">
      <c r="K259">
        <v>31771.017554582366</v>
      </c>
    </row>
    <row r="260" spans="11:11" x14ac:dyDescent="0.45">
      <c r="K260">
        <v>28110.103681360852</v>
      </c>
    </row>
    <row r="261" spans="11:11" x14ac:dyDescent="0.45">
      <c r="K261">
        <v>22826.914892753812</v>
      </c>
    </row>
    <row r="262" spans="11:11" x14ac:dyDescent="0.45">
      <c r="K262">
        <v>22392.065052406317</v>
      </c>
    </row>
    <row r="263" spans="11:11" x14ac:dyDescent="0.45">
      <c r="K263">
        <v>20546.811301308015</v>
      </c>
    </row>
    <row r="264" spans="11:11" x14ac:dyDescent="0.45">
      <c r="K264">
        <v>38118.652472456</v>
      </c>
    </row>
    <row r="265" spans="11:11" x14ac:dyDescent="0.45">
      <c r="K265">
        <v>37325.520737392995</v>
      </c>
    </row>
    <row r="266" spans="11:11" x14ac:dyDescent="0.45">
      <c r="K266">
        <v>50173.634003824001</v>
      </c>
    </row>
    <row r="267" spans="11:11" x14ac:dyDescent="0.45">
      <c r="K267">
        <v>35273.610177422459</v>
      </c>
    </row>
    <row r="268" spans="11:11" x14ac:dyDescent="0.45">
      <c r="K268">
        <v>40381.283851996333</v>
      </c>
    </row>
    <row r="269" spans="11:11" x14ac:dyDescent="0.45">
      <c r="K269">
        <v>37405.462912320101</v>
      </c>
    </row>
    <row r="270" spans="11:11" x14ac:dyDescent="0.45">
      <c r="K270">
        <v>40365.832674087571</v>
      </c>
    </row>
    <row r="271" spans="11:11" x14ac:dyDescent="0.45">
      <c r="K271">
        <v>35083.802272520203</v>
      </c>
    </row>
    <row r="272" spans="11:11" x14ac:dyDescent="0.45">
      <c r="K272">
        <v>0</v>
      </c>
    </row>
    <row r="273" spans="11:11" x14ac:dyDescent="0.45">
      <c r="K273">
        <v>21126.93995907942</v>
      </c>
    </row>
    <row r="274" spans="11:11" x14ac:dyDescent="0.45">
      <c r="K274">
        <v>21714.581932397217</v>
      </c>
    </row>
    <row r="275" spans="11:11" x14ac:dyDescent="0.45">
      <c r="K275">
        <v>44804.106266878895</v>
      </c>
    </row>
    <row r="276" spans="11:11" x14ac:dyDescent="0.45">
      <c r="K276">
        <v>17626.026274481403</v>
      </c>
    </row>
    <row r="277" spans="11:11" x14ac:dyDescent="0.45">
      <c r="K277">
        <v>20593.500232686521</v>
      </c>
    </row>
    <row r="278" spans="11:11" x14ac:dyDescent="0.45">
      <c r="K278">
        <v>22104.953916383027</v>
      </c>
    </row>
    <row r="279" spans="11:11" x14ac:dyDescent="0.45">
      <c r="K279">
        <v>34904.032320164144</v>
      </c>
    </row>
    <row r="280" spans="11:11" x14ac:dyDescent="0.45">
      <c r="K280">
        <v>26544.402077005871</v>
      </c>
    </row>
    <row r="281" spans="11:11" x14ac:dyDescent="0.45">
      <c r="K281">
        <v>11186.93088388144</v>
      </c>
    </row>
    <row r="282" spans="11:11" x14ac:dyDescent="0.45">
      <c r="K282">
        <v>36114.719361111354</v>
      </c>
    </row>
    <row r="283" spans="11:11" x14ac:dyDescent="0.45">
      <c r="K283">
        <v>44638.937964080098</v>
      </c>
    </row>
    <row r="284" spans="11:11" x14ac:dyDescent="0.45">
      <c r="K284">
        <v>21871.867399509934</v>
      </c>
    </row>
    <row r="285" spans="11:11" x14ac:dyDescent="0.45">
      <c r="K285">
        <v>57117.907732946755</v>
      </c>
    </row>
    <row r="286" spans="11:11" x14ac:dyDescent="0.45">
      <c r="K286">
        <v>21059.772466881048</v>
      </c>
    </row>
    <row r="287" spans="11:11" x14ac:dyDescent="0.45">
      <c r="K287">
        <v>35591.171006894838</v>
      </c>
    </row>
    <row r="288" spans="11:11" x14ac:dyDescent="0.45">
      <c r="K288">
        <v>32801.271283313996</v>
      </c>
    </row>
    <row r="289" spans="11:11" x14ac:dyDescent="0.45">
      <c r="K289">
        <v>0</v>
      </c>
    </row>
    <row r="290" spans="11:11" x14ac:dyDescent="0.45">
      <c r="K290">
        <v>18672.025649453186</v>
      </c>
    </row>
    <row r="291" spans="11:11" x14ac:dyDescent="0.45">
      <c r="K291">
        <v>40471.949794912529</v>
      </c>
    </row>
    <row r="292" spans="11:11" x14ac:dyDescent="0.45">
      <c r="K292">
        <v>26444.190497984811</v>
      </c>
    </row>
    <row r="293" spans="11:11" x14ac:dyDescent="0.45">
      <c r="K293">
        <v>50956.635467327316</v>
      </c>
    </row>
    <row r="294" spans="11:11" x14ac:dyDescent="0.45">
      <c r="K294">
        <v>33484.554467743656</v>
      </c>
    </row>
    <row r="295" spans="11:11" x14ac:dyDescent="0.45">
      <c r="K295">
        <v>14967.284492131377</v>
      </c>
    </row>
    <row r="296" spans="11:11" x14ac:dyDescent="0.45">
      <c r="K296">
        <v>38664.421410105351</v>
      </c>
    </row>
    <row r="297" spans="11:11" x14ac:dyDescent="0.45">
      <c r="K297">
        <v>8633.7085963282152</v>
      </c>
    </row>
    <row r="298" spans="11:11" x14ac:dyDescent="0.45">
      <c r="K298">
        <v>27535.816178855355</v>
      </c>
    </row>
    <row r="299" spans="11:11" x14ac:dyDescent="0.45">
      <c r="K299">
        <v>32033.413212570435</v>
      </c>
    </row>
    <row r="300" spans="11:11" x14ac:dyDescent="0.45">
      <c r="K300">
        <v>27206.148081572079</v>
      </c>
    </row>
    <row r="301" spans="11:11" x14ac:dyDescent="0.45">
      <c r="K301">
        <v>44827.356162279975</v>
      </c>
    </row>
    <row r="302" spans="11:11" x14ac:dyDescent="0.45">
      <c r="K302">
        <v>26799.949129763656</v>
      </c>
    </row>
    <row r="303" spans="11:11" x14ac:dyDescent="0.45">
      <c r="K303">
        <v>0</v>
      </c>
    </row>
    <row r="304" spans="11:11" x14ac:dyDescent="0.45">
      <c r="K304">
        <v>26342.487551817612</v>
      </c>
    </row>
    <row r="305" spans="11:11" x14ac:dyDescent="0.45">
      <c r="K305">
        <v>28504.233633062016</v>
      </c>
    </row>
    <row r="306" spans="11:11" x14ac:dyDescent="0.45">
      <c r="K306">
        <v>25955.785574309717</v>
      </c>
    </row>
    <row r="307" spans="11:11" x14ac:dyDescent="0.45">
      <c r="K307">
        <v>25225.381956223071</v>
      </c>
    </row>
    <row r="308" spans="11:11" x14ac:dyDescent="0.45">
      <c r="K308">
        <v>12816.339004045432</v>
      </c>
    </row>
    <row r="309" spans="11:11" x14ac:dyDescent="0.45">
      <c r="K309">
        <v>35070.323943066127</v>
      </c>
    </row>
    <row r="310" spans="11:11" x14ac:dyDescent="0.45">
      <c r="K310">
        <v>23478.521750371914</v>
      </c>
    </row>
    <row r="311" spans="11:11" x14ac:dyDescent="0.45">
      <c r="K311">
        <v>27582.680324258803</v>
      </c>
    </row>
    <row r="312" spans="11:11" x14ac:dyDescent="0.45">
      <c r="K312">
        <v>25982.168719602068</v>
      </c>
    </row>
    <row r="313" spans="11:11" x14ac:dyDescent="0.45">
      <c r="K313">
        <v>49253.921363243993</v>
      </c>
    </row>
    <row r="314" spans="11:11" x14ac:dyDescent="0.45">
      <c r="K314">
        <v>42086.365218589839</v>
      </c>
    </row>
    <row r="315" spans="11:11" x14ac:dyDescent="0.45">
      <c r="K315">
        <v>36215.730288165898</v>
      </c>
    </row>
    <row r="316" spans="11:11" x14ac:dyDescent="0.45">
      <c r="K316">
        <v>16649.286603601631</v>
      </c>
    </row>
    <row r="317" spans="11:11" x14ac:dyDescent="0.45">
      <c r="K317">
        <v>29758.525806282356</v>
      </c>
    </row>
    <row r="318" spans="11:11" x14ac:dyDescent="0.45">
      <c r="K318">
        <v>43256.745413075711</v>
      </c>
    </row>
    <row r="319" spans="11:11" x14ac:dyDescent="0.45">
      <c r="K319">
        <v>45837.736871939196</v>
      </c>
    </row>
    <row r="320" spans="11:11" x14ac:dyDescent="0.45">
      <c r="K320">
        <v>17019.242366716979</v>
      </c>
    </row>
    <row r="321" spans="11:11" x14ac:dyDescent="0.45">
      <c r="K321">
        <v>40313.988312506815</v>
      </c>
    </row>
    <row r="322" spans="11:11" x14ac:dyDescent="0.45">
      <c r="K322">
        <v>27466.03741496749</v>
      </c>
    </row>
    <row r="323" spans="11:11" x14ac:dyDescent="0.45">
      <c r="K323">
        <v>28632.951484946614</v>
      </c>
    </row>
    <row r="324" spans="11:11" x14ac:dyDescent="0.45">
      <c r="K324">
        <v>42730.79826640735</v>
      </c>
    </row>
    <row r="325" spans="11:11" x14ac:dyDescent="0.45">
      <c r="K325">
        <v>49980.576506623744</v>
      </c>
    </row>
    <row r="326" spans="11:11" x14ac:dyDescent="0.45">
      <c r="K326">
        <v>47645.370175845514</v>
      </c>
    </row>
    <row r="327" spans="11:11" x14ac:dyDescent="0.45">
      <c r="K327">
        <v>28914.395130521483</v>
      </c>
    </row>
    <row r="328" spans="11:11" x14ac:dyDescent="0.45">
      <c r="K328">
        <v>36200.019364645188</v>
      </c>
    </row>
    <row r="329" spans="11:11" x14ac:dyDescent="0.45">
      <c r="K329">
        <v>59184.122456751109</v>
      </c>
    </row>
    <row r="330" spans="11:11" x14ac:dyDescent="0.45">
      <c r="K330">
        <v>44185.700266173088</v>
      </c>
    </row>
    <row r="331" spans="11:11" x14ac:dyDescent="0.45">
      <c r="K331">
        <v>17141.182256846565</v>
      </c>
    </row>
    <row r="332" spans="11:11" x14ac:dyDescent="0.45">
      <c r="K332">
        <v>46888.002641523555</v>
      </c>
    </row>
    <row r="333" spans="11:11" x14ac:dyDescent="0.45">
      <c r="K333">
        <v>28006.127391467318</v>
      </c>
    </row>
    <row r="334" spans="11:11" x14ac:dyDescent="0.45">
      <c r="K334">
        <v>28442.797580933671</v>
      </c>
    </row>
    <row r="335" spans="11:11" x14ac:dyDescent="0.45">
      <c r="K335">
        <v>26279.444215215488</v>
      </c>
    </row>
    <row r="336" spans="11:11" x14ac:dyDescent="0.45">
      <c r="K336">
        <v>17843.999773134841</v>
      </c>
    </row>
    <row r="337" spans="11:11" x14ac:dyDescent="0.45">
      <c r="K337">
        <v>55845.296275579385</v>
      </c>
    </row>
    <row r="338" spans="11:11" x14ac:dyDescent="0.45">
      <c r="K338">
        <v>28780.621480414655</v>
      </c>
    </row>
    <row r="339" spans="11:11" x14ac:dyDescent="0.45">
      <c r="K339">
        <v>38109.196142463916</v>
      </c>
    </row>
    <row r="340" spans="11:11" x14ac:dyDescent="0.45">
      <c r="K340">
        <v>18477.00638161194</v>
      </c>
    </row>
    <row r="341" spans="11:11" x14ac:dyDescent="0.45">
      <c r="K341">
        <v>31002.602795108858</v>
      </c>
    </row>
    <row r="342" spans="11:11" x14ac:dyDescent="0.45">
      <c r="K342">
        <v>26455.620082004589</v>
      </c>
    </row>
    <row r="343" spans="11:11" x14ac:dyDescent="0.45">
      <c r="K343">
        <v>22708.306368591424</v>
      </c>
    </row>
    <row r="344" spans="11:11" x14ac:dyDescent="0.45">
      <c r="K344">
        <v>36889.135115319077</v>
      </c>
    </row>
    <row r="345" spans="11:11" x14ac:dyDescent="0.45">
      <c r="K345">
        <v>21736.261747790086</v>
      </c>
    </row>
    <row r="346" spans="11:11" x14ac:dyDescent="0.45">
      <c r="K346">
        <v>45435.551624948595</v>
      </c>
    </row>
    <row r="347" spans="11:11" x14ac:dyDescent="0.45">
      <c r="K347">
        <v>42168.99767739488</v>
      </c>
    </row>
    <row r="348" spans="11:11" x14ac:dyDescent="0.45">
      <c r="K348">
        <v>27387.175514937779</v>
      </c>
    </row>
    <row r="349" spans="11:11" x14ac:dyDescent="0.45">
      <c r="K349">
        <v>38505.406764734558</v>
      </c>
    </row>
    <row r="350" spans="11:11" x14ac:dyDescent="0.45">
      <c r="K350">
        <v>43711.507575840762</v>
      </c>
    </row>
    <row r="351" spans="11:11" x14ac:dyDescent="0.45">
      <c r="K351">
        <v>38940.660631931663</v>
      </c>
    </row>
    <row r="352" spans="11:11" x14ac:dyDescent="0.45">
      <c r="K352">
        <v>33109.403580605365</v>
      </c>
    </row>
    <row r="353" spans="11:11" x14ac:dyDescent="0.45">
      <c r="K353">
        <v>20774.96904976845</v>
      </c>
    </row>
    <row r="354" spans="11:11" x14ac:dyDescent="0.45">
      <c r="K354">
        <v>20877.229352164642</v>
      </c>
    </row>
    <row r="355" spans="11:11" x14ac:dyDescent="0.45">
      <c r="K355">
        <v>35251.715867532905</v>
      </c>
    </row>
    <row r="356" spans="11:11" x14ac:dyDescent="0.45">
      <c r="K356">
        <v>19274.51866475321</v>
      </c>
    </row>
    <row r="357" spans="11:11" x14ac:dyDescent="0.45">
      <c r="K357">
        <v>42228.40656672715</v>
      </c>
    </row>
    <row r="358" spans="11:11" x14ac:dyDescent="0.45">
      <c r="K358">
        <v>24204.081429439946</v>
      </c>
    </row>
    <row r="359" spans="11:11" x14ac:dyDescent="0.45">
      <c r="K359">
        <v>41345.323530907714</v>
      </c>
    </row>
    <row r="360" spans="11:11" x14ac:dyDescent="0.45">
      <c r="K360">
        <v>37822.384337411233</v>
      </c>
    </row>
    <row r="361" spans="11:11" x14ac:dyDescent="0.45">
      <c r="K361">
        <v>27574.800741605577</v>
      </c>
    </row>
    <row r="362" spans="11:11" x14ac:dyDescent="0.45">
      <c r="K362">
        <v>32277.229595438122</v>
      </c>
    </row>
    <row r="363" spans="11:11" x14ac:dyDescent="0.45">
      <c r="K363">
        <v>31767.075912755572</v>
      </c>
    </row>
    <row r="364" spans="11:11" x14ac:dyDescent="0.45">
      <c r="K364">
        <v>24651.381103819305</v>
      </c>
    </row>
    <row r="365" spans="11:11" x14ac:dyDescent="0.45">
      <c r="K365">
        <v>32954.472900937566</v>
      </c>
    </row>
    <row r="366" spans="11:11" x14ac:dyDescent="0.45">
      <c r="K366">
        <v>36896.653687357939</v>
      </c>
    </row>
    <row r="367" spans="11:11" x14ac:dyDescent="0.45">
      <c r="K367">
        <v>21777.242629555767</v>
      </c>
    </row>
    <row r="368" spans="11:11" x14ac:dyDescent="0.45">
      <c r="K368">
        <v>30000.4135966377</v>
      </c>
    </row>
    <row r="369" spans="11:11" x14ac:dyDescent="0.45">
      <c r="K369">
        <v>13115.900330268727</v>
      </c>
    </row>
    <row r="370" spans="11:11" x14ac:dyDescent="0.45">
      <c r="K370">
        <v>18759.926400374166</v>
      </c>
    </row>
    <row r="371" spans="11:11" x14ac:dyDescent="0.45">
      <c r="K371">
        <v>37144.45729669468</v>
      </c>
    </row>
    <row r="372" spans="11:11" x14ac:dyDescent="0.45">
      <c r="K372">
        <v>43350.253937303438</v>
      </c>
    </row>
    <row r="373" spans="11:11" x14ac:dyDescent="0.45">
      <c r="K373">
        <v>9121.6172174331841</v>
      </c>
    </row>
    <row r="374" spans="11:11" x14ac:dyDescent="0.45">
      <c r="K374">
        <v>31660.24719537688</v>
      </c>
    </row>
    <row r="375" spans="11:11" x14ac:dyDescent="0.45">
      <c r="K375">
        <v>37976.620509169748</v>
      </c>
    </row>
    <row r="376" spans="11:11" x14ac:dyDescent="0.45">
      <c r="K376">
        <v>29027.650117140078</v>
      </c>
    </row>
    <row r="377" spans="11:11" x14ac:dyDescent="0.45">
      <c r="K377">
        <v>43963.060313437571</v>
      </c>
    </row>
    <row r="378" spans="11:11" x14ac:dyDescent="0.45">
      <c r="K378">
        <v>35100.358465280682</v>
      </c>
    </row>
    <row r="379" spans="11:11" x14ac:dyDescent="0.45">
      <c r="K379">
        <v>33934.493082203211</v>
      </c>
    </row>
    <row r="380" spans="11:11" x14ac:dyDescent="0.45">
      <c r="K380">
        <v>16060.568763713141</v>
      </c>
    </row>
    <row r="381" spans="11:11" x14ac:dyDescent="0.45">
      <c r="K381">
        <v>37216.857825985222</v>
      </c>
    </row>
    <row r="382" spans="11:11" x14ac:dyDescent="0.45">
      <c r="K382">
        <v>34698.620091320336</v>
      </c>
    </row>
    <row r="383" spans="11:11" x14ac:dyDescent="0.45">
      <c r="K383">
        <v>25573.834699488641</v>
      </c>
    </row>
    <row r="384" spans="11:11" x14ac:dyDescent="0.45">
      <c r="K384">
        <v>25449.246247556766</v>
      </c>
    </row>
    <row r="385" spans="11:11" x14ac:dyDescent="0.45">
      <c r="K385">
        <v>36003.020640311719</v>
      </c>
    </row>
    <row r="386" spans="11:11" x14ac:dyDescent="0.45">
      <c r="K386">
        <v>39596.7200152859</v>
      </c>
    </row>
    <row r="387" spans="11:11" x14ac:dyDescent="0.45">
      <c r="K387">
        <v>36346.039483083223</v>
      </c>
    </row>
    <row r="388" spans="11:11" x14ac:dyDescent="0.45">
      <c r="K388">
        <v>33947.585666260253</v>
      </c>
    </row>
    <row r="389" spans="11:11" x14ac:dyDescent="0.45">
      <c r="K389">
        <v>28768.815233230136</v>
      </c>
    </row>
    <row r="390" spans="11:11" x14ac:dyDescent="0.45">
      <c r="K390">
        <v>38656.01158355509</v>
      </c>
    </row>
    <row r="391" spans="11:11" x14ac:dyDescent="0.45">
      <c r="K391">
        <v>14222.934755223909</v>
      </c>
    </row>
    <row r="392" spans="11:11" x14ac:dyDescent="0.45">
      <c r="K392">
        <v>37892.761681594107</v>
      </c>
    </row>
    <row r="393" spans="11:11" x14ac:dyDescent="0.45">
      <c r="K393">
        <v>20585.646556815336</v>
      </c>
    </row>
    <row r="394" spans="11:11" x14ac:dyDescent="0.45">
      <c r="K394">
        <v>34769.631328908567</v>
      </c>
    </row>
    <row r="395" spans="11:11" x14ac:dyDescent="0.45">
      <c r="K395">
        <v>13185.881556953744</v>
      </c>
    </row>
    <row r="396" spans="11:11" x14ac:dyDescent="0.45">
      <c r="K396">
        <v>23319.736319034972</v>
      </c>
    </row>
    <row r="397" spans="11:11" x14ac:dyDescent="0.45">
      <c r="K397">
        <v>19614.463460975319</v>
      </c>
    </row>
    <row r="398" spans="11:11" x14ac:dyDescent="0.45">
      <c r="K398">
        <v>27676.717987076368</v>
      </c>
    </row>
    <row r="399" spans="11:11" x14ac:dyDescent="0.45">
      <c r="K399">
        <v>30771.728357787186</v>
      </c>
    </row>
    <row r="400" spans="11:11" x14ac:dyDescent="0.45">
      <c r="K400">
        <v>24170.989012227808</v>
      </c>
    </row>
    <row r="401" spans="11:11" x14ac:dyDescent="0.45">
      <c r="K401">
        <v>47111.138088787324</v>
      </c>
    </row>
    <row r="402" spans="11:11" x14ac:dyDescent="0.45">
      <c r="K402">
        <v>44809.324483845063</v>
      </c>
    </row>
    <row r="403" spans="11:11" x14ac:dyDescent="0.45">
      <c r="K403">
        <v>31827.576040112923</v>
      </c>
    </row>
    <row r="404" spans="11:11" x14ac:dyDescent="0.45">
      <c r="K404">
        <v>24030.650831081744</v>
      </c>
    </row>
    <row r="405" spans="11:11" x14ac:dyDescent="0.45">
      <c r="K405">
        <v>19068.285281409662</v>
      </c>
    </row>
    <row r="406" spans="11:11" x14ac:dyDescent="0.45">
      <c r="K406">
        <v>32851.106209547732</v>
      </c>
    </row>
    <row r="407" spans="11:11" x14ac:dyDescent="0.45">
      <c r="K407">
        <v>22450.724041423076</v>
      </c>
    </row>
    <row r="408" spans="11:11" x14ac:dyDescent="0.45">
      <c r="K408">
        <v>29649.619443163916</v>
      </c>
    </row>
    <row r="409" spans="11:11" x14ac:dyDescent="0.45">
      <c r="K409">
        <v>23002.009704351152</v>
      </c>
    </row>
    <row r="410" spans="11:11" x14ac:dyDescent="0.45">
      <c r="K410">
        <v>37379.416862934129</v>
      </c>
    </row>
    <row r="411" spans="11:11" x14ac:dyDescent="0.45">
      <c r="K411">
        <v>44652.3044824717</v>
      </c>
    </row>
    <row r="412" spans="11:11" x14ac:dyDescent="0.45">
      <c r="K412">
        <v>53200.6263461333</v>
      </c>
    </row>
    <row r="413" spans="11:11" x14ac:dyDescent="0.45">
      <c r="K413">
        <v>28630.322870815489</v>
      </c>
    </row>
    <row r="414" spans="11:11" x14ac:dyDescent="0.45">
      <c r="K414">
        <v>11158.970243001775</v>
      </c>
    </row>
    <row r="415" spans="11:11" x14ac:dyDescent="0.45">
      <c r="K415">
        <v>21428.438079654545</v>
      </c>
    </row>
    <row r="416" spans="11:11" x14ac:dyDescent="0.45">
      <c r="K416">
        <v>25785.761178432404</v>
      </c>
    </row>
    <row r="417" spans="11:11" x14ac:dyDescent="0.45">
      <c r="K417">
        <v>33316.176241783673</v>
      </c>
    </row>
    <row r="418" spans="11:11" x14ac:dyDescent="0.45">
      <c r="K418">
        <v>24848.521910999174</v>
      </c>
    </row>
    <row r="419" spans="11:11" x14ac:dyDescent="0.45">
      <c r="K419">
        <v>31869.22748440479</v>
      </c>
    </row>
    <row r="420" spans="11:11" x14ac:dyDescent="0.45">
      <c r="K420">
        <v>43757.310191879602</v>
      </c>
    </row>
    <row r="421" spans="11:11" x14ac:dyDescent="0.45">
      <c r="K421">
        <v>34153.61823726639</v>
      </c>
    </row>
    <row r="422" spans="11:11" x14ac:dyDescent="0.45">
      <c r="K422">
        <v>11056.815508116626</v>
      </c>
    </row>
    <row r="423" spans="11:11" x14ac:dyDescent="0.45">
      <c r="K423">
        <v>31084.628845935829</v>
      </c>
    </row>
    <row r="424" spans="11:11" x14ac:dyDescent="0.45">
      <c r="K424">
        <v>38084.300641707756</v>
      </c>
    </row>
    <row r="425" spans="11:11" x14ac:dyDescent="0.45">
      <c r="K425">
        <v>33248.809717024349</v>
      </c>
    </row>
    <row r="426" spans="11:11" x14ac:dyDescent="0.45">
      <c r="K426">
        <v>15684.039340665626</v>
      </c>
    </row>
    <row r="427" spans="11:11" x14ac:dyDescent="0.45">
      <c r="K427">
        <v>16993.692262840086</v>
      </c>
    </row>
    <row r="428" spans="11:11" x14ac:dyDescent="0.45">
      <c r="K428">
        <v>37752.237473644956</v>
      </c>
    </row>
    <row r="429" spans="11:11" x14ac:dyDescent="0.45">
      <c r="K429">
        <v>28748.198495993282</v>
      </c>
    </row>
    <row r="430" spans="11:11" x14ac:dyDescent="0.45">
      <c r="K430">
        <v>35913.312777844862</v>
      </c>
    </row>
    <row r="431" spans="11:11" x14ac:dyDescent="0.45">
      <c r="K431">
        <v>28229.652675977733</v>
      </c>
    </row>
    <row r="432" spans="11:11" x14ac:dyDescent="0.45">
      <c r="K432">
        <v>57450.421748645313</v>
      </c>
    </row>
    <row r="433" spans="11:11" x14ac:dyDescent="0.45">
      <c r="K433">
        <v>28757.572953650735</v>
      </c>
    </row>
    <row r="434" spans="11:11" x14ac:dyDescent="0.45">
      <c r="K434">
        <v>28666.34922909287</v>
      </c>
    </row>
    <row r="435" spans="11:11" x14ac:dyDescent="0.45">
      <c r="K435">
        <v>31630.608236408454</v>
      </c>
    </row>
    <row r="436" spans="11:11" x14ac:dyDescent="0.45">
      <c r="K436">
        <v>26700.505507368864</v>
      </c>
    </row>
    <row r="437" spans="11:11" x14ac:dyDescent="0.45">
      <c r="K437">
        <v>32351.843181166063</v>
      </c>
    </row>
    <row r="438" spans="11:11" x14ac:dyDescent="0.45">
      <c r="K438">
        <v>31456.132581548012</v>
      </c>
    </row>
    <row r="439" spans="11:11" x14ac:dyDescent="0.45">
      <c r="K439">
        <v>31470.28489446946</v>
      </c>
    </row>
    <row r="440" spans="11:11" x14ac:dyDescent="0.45">
      <c r="K440">
        <v>18691.175834633374</v>
      </c>
    </row>
    <row r="441" spans="11:11" x14ac:dyDescent="0.45">
      <c r="K441">
        <v>35697.465665747339</v>
      </c>
    </row>
    <row r="442" spans="11:11" x14ac:dyDescent="0.45">
      <c r="K442">
        <v>22088.279795068767</v>
      </c>
    </row>
    <row r="443" spans="11:11" x14ac:dyDescent="0.45">
      <c r="K443">
        <v>28332.739138860667</v>
      </c>
    </row>
    <row r="444" spans="11:11" x14ac:dyDescent="0.45">
      <c r="K444">
        <v>33593.434032970901</v>
      </c>
    </row>
    <row r="445" spans="11:11" x14ac:dyDescent="0.45">
      <c r="K445">
        <v>30714.388671342429</v>
      </c>
    </row>
    <row r="446" spans="11:11" x14ac:dyDescent="0.45">
      <c r="K446">
        <v>34723.097712328927</v>
      </c>
    </row>
    <row r="447" spans="11:11" x14ac:dyDescent="0.45">
      <c r="K447">
        <v>38048.412234689393</v>
      </c>
    </row>
    <row r="448" spans="11:11" x14ac:dyDescent="0.45">
      <c r="K448">
        <v>46678.177034411819</v>
      </c>
    </row>
    <row r="449" spans="11:11" x14ac:dyDescent="0.45">
      <c r="K449">
        <v>36788.955955333615</v>
      </c>
    </row>
    <row r="450" spans="11:11" x14ac:dyDescent="0.45">
      <c r="K450">
        <v>28756.60677735725</v>
      </c>
    </row>
    <row r="451" spans="11:11" x14ac:dyDescent="0.45">
      <c r="K451">
        <v>25403.55266261931</v>
      </c>
    </row>
    <row r="452" spans="11:11" x14ac:dyDescent="0.45">
      <c r="K452">
        <v>25130.747338593759</v>
      </c>
    </row>
    <row r="453" spans="11:11" x14ac:dyDescent="0.45">
      <c r="K453">
        <v>53570.575065316691</v>
      </c>
    </row>
    <row r="454" spans="11:11" x14ac:dyDescent="0.45">
      <c r="K454">
        <v>17003.988616253191</v>
      </c>
    </row>
    <row r="455" spans="11:11" x14ac:dyDescent="0.45">
      <c r="K455">
        <v>26410.976993470253</v>
      </c>
    </row>
    <row r="456" spans="11:11" x14ac:dyDescent="0.45">
      <c r="K456">
        <v>66033.942498060787</v>
      </c>
    </row>
    <row r="457" spans="11:11" x14ac:dyDescent="0.45">
      <c r="K457">
        <v>46288.009155123364</v>
      </c>
    </row>
    <row r="458" spans="11:11" x14ac:dyDescent="0.45">
      <c r="K458">
        <v>40704.633542319178</v>
      </c>
    </row>
    <row r="459" spans="11:11" x14ac:dyDescent="0.45">
      <c r="K459">
        <v>40470.390274975201</v>
      </c>
    </row>
    <row r="460" spans="11:11" x14ac:dyDescent="0.45">
      <c r="K460">
        <v>31598.4939128732</v>
      </c>
    </row>
    <row r="461" spans="11:11" x14ac:dyDescent="0.45">
      <c r="K461">
        <v>40754.318021200859</v>
      </c>
    </row>
    <row r="462" spans="11:11" x14ac:dyDescent="0.45">
      <c r="K462">
        <v>27942.023860906214</v>
      </c>
    </row>
    <row r="463" spans="11:11" x14ac:dyDescent="0.45">
      <c r="K463">
        <v>11673.705790274362</v>
      </c>
    </row>
    <row r="464" spans="11:11" x14ac:dyDescent="0.45">
      <c r="K464">
        <v>32782.572845749994</v>
      </c>
    </row>
    <row r="465" spans="11:11" x14ac:dyDescent="0.45">
      <c r="K465">
        <v>36227.307380061109</v>
      </c>
    </row>
    <row r="466" spans="11:11" x14ac:dyDescent="0.45">
      <c r="K466">
        <v>23760.783031316088</v>
      </c>
    </row>
    <row r="467" spans="11:11" x14ac:dyDescent="0.45">
      <c r="K467">
        <v>16478.808365322751</v>
      </c>
    </row>
    <row r="468" spans="11:11" x14ac:dyDescent="0.45">
      <c r="K468">
        <v>31545.345198333271</v>
      </c>
    </row>
    <row r="469" spans="11:11" x14ac:dyDescent="0.45">
      <c r="K469">
        <v>27262.058810638111</v>
      </c>
    </row>
    <row r="470" spans="11:11" x14ac:dyDescent="0.45">
      <c r="K470">
        <v>25626.015429928833</v>
      </c>
    </row>
    <row r="471" spans="11:11" x14ac:dyDescent="0.45">
      <c r="K471">
        <v>45450.331224306035</v>
      </c>
    </row>
    <row r="472" spans="11:11" x14ac:dyDescent="0.45">
      <c r="K472">
        <v>19756.698280928325</v>
      </c>
    </row>
    <row r="473" spans="11:11" x14ac:dyDescent="0.45">
      <c r="K473">
        <v>30026.512052969701</v>
      </c>
    </row>
    <row r="474" spans="11:11" x14ac:dyDescent="0.45">
      <c r="K474">
        <v>36058.197213366249</v>
      </c>
    </row>
    <row r="475" spans="11:11" x14ac:dyDescent="0.45">
      <c r="K475">
        <v>35755.473809355855</v>
      </c>
    </row>
    <row r="476" spans="11:11" x14ac:dyDescent="0.45">
      <c r="K476">
        <v>40711.773747256513</v>
      </c>
    </row>
    <row r="477" spans="11:11" x14ac:dyDescent="0.45">
      <c r="K477">
        <v>42316.282332787545</v>
      </c>
    </row>
    <row r="478" spans="11:11" x14ac:dyDescent="0.45">
      <c r="K478">
        <v>39886.482958816778</v>
      </c>
    </row>
    <row r="479" spans="11:11" x14ac:dyDescent="0.45">
      <c r="K479">
        <v>35200.574853821156</v>
      </c>
    </row>
    <row r="480" spans="11:11" x14ac:dyDescent="0.45">
      <c r="K480">
        <v>34699.699455934839</v>
      </c>
    </row>
    <row r="481" spans="11:11" x14ac:dyDescent="0.45">
      <c r="K481">
        <v>43896.303339863225</v>
      </c>
    </row>
    <row r="482" spans="11:11" x14ac:dyDescent="0.45">
      <c r="K482">
        <v>31990.162264677976</v>
      </c>
    </row>
    <row r="483" spans="11:11" x14ac:dyDescent="0.45">
      <c r="K483">
        <v>25012.867791485965</v>
      </c>
    </row>
    <row r="484" spans="11:11" x14ac:dyDescent="0.45">
      <c r="K484">
        <v>17024.18385026374</v>
      </c>
    </row>
    <row r="485" spans="11:11" x14ac:dyDescent="0.45">
      <c r="K485">
        <v>15141.359843573606</v>
      </c>
    </row>
    <row r="486" spans="11:11" x14ac:dyDescent="0.45">
      <c r="K486">
        <v>24217.652915809758</v>
      </c>
    </row>
    <row r="487" spans="11:11" x14ac:dyDescent="0.45">
      <c r="K487">
        <v>31676.497852274973</v>
      </c>
    </row>
    <row r="488" spans="11:11" x14ac:dyDescent="0.45">
      <c r="K488">
        <v>40516.205113653647</v>
      </c>
    </row>
    <row r="489" spans="11:11" x14ac:dyDescent="0.45">
      <c r="K489">
        <v>27609.296175927495</v>
      </c>
    </row>
    <row r="490" spans="11:11" x14ac:dyDescent="0.45">
      <c r="K490">
        <v>38149.813918297368</v>
      </c>
    </row>
    <row r="491" spans="11:11" x14ac:dyDescent="0.45">
      <c r="K491">
        <v>46227.97470570766</v>
      </c>
    </row>
    <row r="492" spans="11:11" x14ac:dyDescent="0.45">
      <c r="K492">
        <v>46284.95413021266</v>
      </c>
    </row>
    <row r="493" spans="11:11" x14ac:dyDescent="0.45">
      <c r="K493">
        <v>46814.316314787349</v>
      </c>
    </row>
    <row r="494" spans="11:11" x14ac:dyDescent="0.45">
      <c r="K494">
        <v>35795.180079773956</v>
      </c>
    </row>
    <row r="495" spans="11:11" x14ac:dyDescent="0.45">
      <c r="K495">
        <v>54201.935588093467</v>
      </c>
    </row>
    <row r="496" spans="11:11" x14ac:dyDescent="0.45">
      <c r="K496">
        <v>34104.544372037948</v>
      </c>
    </row>
    <row r="497" spans="11:11" x14ac:dyDescent="0.45">
      <c r="K497">
        <v>34321.61119395549</v>
      </c>
    </row>
    <row r="498" spans="11:11" x14ac:dyDescent="0.45">
      <c r="K498">
        <v>29551.243109053368</v>
      </c>
    </row>
    <row r="499" spans="11:11" x14ac:dyDescent="0.45">
      <c r="K499">
        <v>41271.838756547586</v>
      </c>
    </row>
    <row r="500" spans="11:11" x14ac:dyDescent="0.45">
      <c r="K500">
        <v>43548.724819762705</v>
      </c>
    </row>
    <row r="501" spans="11:11" x14ac:dyDescent="0.45">
      <c r="K501">
        <v>34080.615136150227</v>
      </c>
    </row>
    <row r="502" spans="11:11" x14ac:dyDescent="0.45">
      <c r="K502">
        <v>43278.937322975238</v>
      </c>
    </row>
    <row r="503" spans="11:11" x14ac:dyDescent="0.45">
      <c r="K503">
        <v>18750.489770378088</v>
      </c>
    </row>
    <row r="504" spans="11:11" x14ac:dyDescent="0.45">
      <c r="K504">
        <v>36243.998219928297</v>
      </c>
    </row>
    <row r="505" spans="11:11" x14ac:dyDescent="0.45">
      <c r="K505">
        <v>14251.49219352088</v>
      </c>
    </row>
    <row r="506" spans="11:11" x14ac:dyDescent="0.45">
      <c r="K506">
        <v>40758.213406272786</v>
      </c>
    </row>
    <row r="507" spans="11:11" x14ac:dyDescent="0.45">
      <c r="K507">
        <v>8459.0045042047896</v>
      </c>
    </row>
    <row r="508" spans="11:11" x14ac:dyDescent="0.45">
      <c r="K508">
        <v>43266.297898719509</v>
      </c>
    </row>
    <row r="509" spans="11:11" x14ac:dyDescent="0.45">
      <c r="K509">
        <v>37614.467946210687</v>
      </c>
    </row>
    <row r="510" spans="11:11" x14ac:dyDescent="0.45">
      <c r="K510">
        <v>58059.900180098819</v>
      </c>
    </row>
    <row r="511" spans="11:11" x14ac:dyDescent="0.45">
      <c r="K511">
        <v>19699.642275160462</v>
      </c>
    </row>
    <row r="512" spans="11:11" x14ac:dyDescent="0.45">
      <c r="K512">
        <v>27316.724274978278</v>
      </c>
    </row>
    <row r="513" spans="11:11" x14ac:dyDescent="0.45">
      <c r="K513">
        <v>29006.16771175135</v>
      </c>
    </row>
    <row r="514" spans="11:11" x14ac:dyDescent="0.45">
      <c r="K514">
        <v>28677.398039941621</v>
      </c>
    </row>
    <row r="515" spans="11:11" x14ac:dyDescent="0.45">
      <c r="K515">
        <v>25760.695573781763</v>
      </c>
    </row>
    <row r="516" spans="11:11" x14ac:dyDescent="0.45">
      <c r="K516">
        <v>21794.662657227174</v>
      </c>
    </row>
    <row r="517" spans="11:11" x14ac:dyDescent="0.45">
      <c r="K517">
        <v>0</v>
      </c>
    </row>
    <row r="518" spans="11:11" x14ac:dyDescent="0.45">
      <c r="K518">
        <v>45586.98484604148</v>
      </c>
    </row>
    <row r="519" spans="11:11" x14ac:dyDescent="0.45">
      <c r="K519">
        <v>25601.651231845361</v>
      </c>
    </row>
    <row r="520" spans="11:11" x14ac:dyDescent="0.45">
      <c r="K520">
        <v>48884.456030355635</v>
      </c>
    </row>
    <row r="521" spans="11:11" x14ac:dyDescent="0.45">
      <c r="K521">
        <v>25652.007271134826</v>
      </c>
    </row>
    <row r="522" spans="11:11" x14ac:dyDescent="0.45">
      <c r="K522">
        <v>19340.052773677879</v>
      </c>
    </row>
    <row r="523" spans="11:11" x14ac:dyDescent="0.45">
      <c r="K523">
        <v>48945.548243366487</v>
      </c>
    </row>
    <row r="524" spans="11:11" x14ac:dyDescent="0.45">
      <c r="K524">
        <v>29715.043283401152</v>
      </c>
    </row>
    <row r="525" spans="11:11" x14ac:dyDescent="0.45">
      <c r="K525">
        <v>43441.54987400963</v>
      </c>
    </row>
    <row r="526" spans="11:11" x14ac:dyDescent="0.45">
      <c r="K526">
        <v>43769.830149198722</v>
      </c>
    </row>
    <row r="527" spans="11:11" x14ac:dyDescent="0.45">
      <c r="K527">
        <v>35897.728213023496</v>
      </c>
    </row>
    <row r="528" spans="11:11" x14ac:dyDescent="0.45">
      <c r="K528">
        <v>28889.33279852226</v>
      </c>
    </row>
    <row r="529" spans="11:11" x14ac:dyDescent="0.45">
      <c r="K529">
        <v>29599.117015266984</v>
      </c>
    </row>
    <row r="530" spans="11:11" x14ac:dyDescent="0.45">
      <c r="K530">
        <v>25798.730503594961</v>
      </c>
    </row>
    <row r="531" spans="11:11" x14ac:dyDescent="0.45">
      <c r="K531">
        <v>11676.080485926905</v>
      </c>
    </row>
    <row r="532" spans="11:11" x14ac:dyDescent="0.45">
      <c r="K532">
        <v>25946.714387382148</v>
      </c>
    </row>
    <row r="533" spans="11:11" x14ac:dyDescent="0.45">
      <c r="K533">
        <v>37931.809458752068</v>
      </c>
    </row>
    <row r="534" spans="11:11" x14ac:dyDescent="0.45">
      <c r="K534">
        <v>10950.685869465415</v>
      </c>
    </row>
    <row r="535" spans="11:11" x14ac:dyDescent="0.45">
      <c r="K535">
        <v>40991.217488386923</v>
      </c>
    </row>
    <row r="536" spans="11:11" x14ac:dyDescent="0.45">
      <c r="K536">
        <v>59388.181824220199</v>
      </c>
    </row>
    <row r="537" spans="11:11" x14ac:dyDescent="0.45">
      <c r="K537">
        <v>60599.420224739588</v>
      </c>
    </row>
    <row r="538" spans="11:11" x14ac:dyDescent="0.45">
      <c r="K538">
        <v>11082.502513651019</v>
      </c>
    </row>
    <row r="539" spans="11:11" x14ac:dyDescent="0.45">
      <c r="K539">
        <v>22616.72338914343</v>
      </c>
    </row>
    <row r="540" spans="11:11" x14ac:dyDescent="0.45">
      <c r="K540">
        <v>40536.876570981185</v>
      </c>
    </row>
    <row r="541" spans="11:11" x14ac:dyDescent="0.45">
      <c r="K541">
        <v>41413.070226904129</v>
      </c>
    </row>
    <row r="542" spans="11:11" x14ac:dyDescent="0.45">
      <c r="K542">
        <v>22225.308754333106</v>
      </c>
    </row>
    <row r="543" spans="11:11" x14ac:dyDescent="0.45">
      <c r="K543">
        <v>27127.899695954104</v>
      </c>
    </row>
    <row r="544" spans="11:11" x14ac:dyDescent="0.45">
      <c r="K544">
        <v>37050.173855226771</v>
      </c>
    </row>
    <row r="545" spans="11:11" x14ac:dyDescent="0.45">
      <c r="K545">
        <v>63844.862560034162</v>
      </c>
    </row>
    <row r="546" spans="11:11" x14ac:dyDescent="0.45">
      <c r="K546">
        <v>49237.35427243053</v>
      </c>
    </row>
    <row r="547" spans="11:11" x14ac:dyDescent="0.45">
      <c r="K547">
        <v>34862.303544783732</v>
      </c>
    </row>
    <row r="548" spans="11:11" x14ac:dyDescent="0.45">
      <c r="K548">
        <v>36535.938157430617</v>
      </c>
    </row>
    <row r="549" spans="11:11" x14ac:dyDescent="0.45">
      <c r="K549">
        <v>25557.831250158019</v>
      </c>
    </row>
    <row r="550" spans="11:11" x14ac:dyDescent="0.45">
      <c r="K550">
        <v>41123.727921340651</v>
      </c>
    </row>
    <row r="551" spans="11:11" x14ac:dyDescent="0.45">
      <c r="K551">
        <v>24362.214711141678</v>
      </c>
    </row>
    <row r="552" spans="11:11" x14ac:dyDescent="0.45">
      <c r="K552">
        <v>56286.533830912624</v>
      </c>
    </row>
    <row r="553" spans="11:11" x14ac:dyDescent="0.45">
      <c r="K553">
        <v>24788.621448123115</v>
      </c>
    </row>
    <row r="554" spans="11:11" x14ac:dyDescent="0.45">
      <c r="K554">
        <v>45334.226957230327</v>
      </c>
    </row>
    <row r="555" spans="11:11" x14ac:dyDescent="0.45">
      <c r="K555">
        <v>30022.044913968566</v>
      </c>
    </row>
    <row r="556" spans="11:11" x14ac:dyDescent="0.45">
      <c r="K556">
        <v>45275.751127653217</v>
      </c>
    </row>
    <row r="557" spans="11:11" x14ac:dyDescent="0.45">
      <c r="K557">
        <v>19571.366067792809</v>
      </c>
    </row>
    <row r="558" spans="11:11" x14ac:dyDescent="0.45">
      <c r="K558">
        <v>29472.43902537227</v>
      </c>
    </row>
    <row r="559" spans="11:11" x14ac:dyDescent="0.45">
      <c r="K559">
        <v>30922.999484782802</v>
      </c>
    </row>
    <row r="560" spans="11:11" x14ac:dyDescent="0.45">
      <c r="K560">
        <v>47810.14068208135</v>
      </c>
    </row>
    <row r="561" spans="11:11" x14ac:dyDescent="0.45">
      <c r="K561">
        <v>50576.991767806772</v>
      </c>
    </row>
    <row r="562" spans="11:11" x14ac:dyDescent="0.45">
      <c r="K562">
        <v>47894.849217640432</v>
      </c>
    </row>
    <row r="563" spans="11:11" x14ac:dyDescent="0.45">
      <c r="K563">
        <v>22519.822308223451</v>
      </c>
    </row>
    <row r="564" spans="11:11" x14ac:dyDescent="0.45">
      <c r="K564">
        <v>29857.38102537721</v>
      </c>
    </row>
    <row r="565" spans="11:11" x14ac:dyDescent="0.45">
      <c r="K565">
        <v>48200.688118400954</v>
      </c>
    </row>
    <row r="566" spans="11:11" x14ac:dyDescent="0.45">
      <c r="K566">
        <v>33154.544025538089</v>
      </c>
    </row>
    <row r="567" spans="11:11" x14ac:dyDescent="0.45">
      <c r="K567">
        <v>27887.368371333028</v>
      </c>
    </row>
    <row r="568" spans="11:11" x14ac:dyDescent="0.45">
      <c r="K568">
        <v>43918.56343980541</v>
      </c>
    </row>
    <row r="569" spans="11:11" x14ac:dyDescent="0.45">
      <c r="K569">
        <v>34744.814208977717</v>
      </c>
    </row>
    <row r="570" spans="11:11" x14ac:dyDescent="0.45">
      <c r="K570">
        <v>46513.416908303589</v>
      </c>
    </row>
    <row r="571" spans="11:11" x14ac:dyDescent="0.45">
      <c r="K571">
        <v>38363.493006507932</v>
      </c>
    </row>
    <row r="572" spans="11:11" x14ac:dyDescent="0.45">
      <c r="K572">
        <v>29764.85292405315</v>
      </c>
    </row>
    <row r="573" spans="11:11" x14ac:dyDescent="0.45">
      <c r="K573">
        <v>23149.617574951015</v>
      </c>
    </row>
    <row r="574" spans="11:11" x14ac:dyDescent="0.45">
      <c r="K574">
        <v>39805.931646015408</v>
      </c>
    </row>
    <row r="575" spans="11:11" x14ac:dyDescent="0.45">
      <c r="K575">
        <v>24435.798848189923</v>
      </c>
    </row>
    <row r="576" spans="11:11" x14ac:dyDescent="0.45">
      <c r="K576">
        <v>16684.523950620533</v>
      </c>
    </row>
    <row r="577" spans="11:11" x14ac:dyDescent="0.45">
      <c r="K577">
        <v>34398.109031176267</v>
      </c>
    </row>
    <row r="578" spans="11:11" x14ac:dyDescent="0.45">
      <c r="K578">
        <v>63822.042523170356</v>
      </c>
    </row>
    <row r="579" spans="11:11" x14ac:dyDescent="0.45">
      <c r="K579">
        <v>24915.243405331348</v>
      </c>
    </row>
    <row r="580" spans="11:11" x14ac:dyDescent="0.45">
      <c r="K580">
        <v>29984.812949424184</v>
      </c>
    </row>
    <row r="581" spans="11:11" x14ac:dyDescent="0.45">
      <c r="K581">
        <v>19286.688114983695</v>
      </c>
    </row>
    <row r="582" spans="11:11" x14ac:dyDescent="0.45">
      <c r="K582">
        <v>39989.52074264457</v>
      </c>
    </row>
    <row r="583" spans="11:11" x14ac:dyDescent="0.45">
      <c r="K583">
        <v>40806.986260657752</v>
      </c>
    </row>
    <row r="584" spans="11:11" x14ac:dyDescent="0.45">
      <c r="K584">
        <v>27172.659170659208</v>
      </c>
    </row>
    <row r="585" spans="11:11" x14ac:dyDescent="0.45">
      <c r="K585">
        <v>27952.440026756605</v>
      </c>
    </row>
    <row r="586" spans="11:11" x14ac:dyDescent="0.45">
      <c r="K586">
        <v>40437.833857258986</v>
      </c>
    </row>
    <row r="587" spans="11:11" x14ac:dyDescent="0.45">
      <c r="K587">
        <v>32666.821508049179</v>
      </c>
    </row>
    <row r="588" spans="11:11" x14ac:dyDescent="0.45">
      <c r="K588">
        <v>12060.603950026889</v>
      </c>
    </row>
    <row r="589" spans="11:11" x14ac:dyDescent="0.45">
      <c r="K589">
        <v>43647.923045849137</v>
      </c>
    </row>
    <row r="590" spans="11:11" x14ac:dyDescent="0.45">
      <c r="K590">
        <v>17700.33482219241</v>
      </c>
    </row>
    <row r="591" spans="11:11" x14ac:dyDescent="0.45">
      <c r="K591">
        <v>37111.164261845464</v>
      </c>
    </row>
    <row r="592" spans="11:11" x14ac:dyDescent="0.45">
      <c r="K592">
        <v>32655.118795536826</v>
      </c>
    </row>
    <row r="593" spans="11:11" x14ac:dyDescent="0.45">
      <c r="K593">
        <v>28233.031303468819</v>
      </c>
    </row>
    <row r="594" spans="11:11" x14ac:dyDescent="0.45">
      <c r="K594">
        <v>28240.917693565571</v>
      </c>
    </row>
    <row r="595" spans="11:11" x14ac:dyDescent="0.45">
      <c r="K595">
        <v>43184.994699247705</v>
      </c>
    </row>
    <row r="596" spans="11:11" x14ac:dyDescent="0.45">
      <c r="K596">
        <v>42873.699615535857</v>
      </c>
    </row>
    <row r="597" spans="11:11" x14ac:dyDescent="0.45">
      <c r="K597">
        <v>39627.301992638502</v>
      </c>
    </row>
    <row r="598" spans="11:11" x14ac:dyDescent="0.45">
      <c r="K598">
        <v>45910.536026906193</v>
      </c>
    </row>
    <row r="599" spans="11:11" x14ac:dyDescent="0.45">
      <c r="K599">
        <v>22373.453294864994</v>
      </c>
    </row>
    <row r="600" spans="11:11" x14ac:dyDescent="0.45">
      <c r="K600">
        <v>25936.717132629416</v>
      </c>
    </row>
    <row r="601" spans="11:11" x14ac:dyDescent="0.45">
      <c r="K601">
        <v>31608.595535771838</v>
      </c>
    </row>
    <row r="602" spans="11:11" x14ac:dyDescent="0.45">
      <c r="K602">
        <v>42225.268393256425</v>
      </c>
    </row>
    <row r="603" spans="11:11" x14ac:dyDescent="0.45">
      <c r="K603">
        <v>36837.236243019724</v>
      </c>
    </row>
    <row r="604" spans="11:11" x14ac:dyDescent="0.45">
      <c r="K604">
        <v>41840.429669289508</v>
      </c>
    </row>
    <row r="605" spans="11:11" x14ac:dyDescent="0.45">
      <c r="K605">
        <v>48727.938303026967</v>
      </c>
    </row>
    <row r="606" spans="11:11" x14ac:dyDescent="0.45">
      <c r="K606">
        <v>42105.177000327283</v>
      </c>
    </row>
    <row r="607" spans="11:11" x14ac:dyDescent="0.45">
      <c r="K607">
        <v>30058.032273721503</v>
      </c>
    </row>
    <row r="608" spans="11:11" x14ac:dyDescent="0.45">
      <c r="K608">
        <v>18967.950392681589</v>
      </c>
    </row>
    <row r="609" spans="11:11" x14ac:dyDescent="0.45">
      <c r="K609">
        <v>32278.421760121844</v>
      </c>
    </row>
    <row r="610" spans="11:11" x14ac:dyDescent="0.45">
      <c r="K610">
        <v>16293.341268405673</v>
      </c>
    </row>
    <row r="611" spans="11:11" x14ac:dyDescent="0.45">
      <c r="K611">
        <v>45587.224856631525</v>
      </c>
    </row>
    <row r="612" spans="11:11" x14ac:dyDescent="0.45">
      <c r="K612">
        <v>44798.360898768879</v>
      </c>
    </row>
    <row r="613" spans="11:11" x14ac:dyDescent="0.45">
      <c r="K613">
        <v>63384.197273446087</v>
      </c>
    </row>
    <row r="614" spans="11:11" x14ac:dyDescent="0.45">
      <c r="K614">
        <v>37923.969092905194</v>
      </c>
    </row>
    <row r="615" spans="11:11" x14ac:dyDescent="0.45">
      <c r="K615">
        <v>34133.414874389913</v>
      </c>
    </row>
    <row r="616" spans="11:11" x14ac:dyDescent="0.45">
      <c r="K616">
        <v>17882.535171386364</v>
      </c>
    </row>
    <row r="617" spans="11:11" x14ac:dyDescent="0.45">
      <c r="K617">
        <v>31880.40958929664</v>
      </c>
    </row>
    <row r="618" spans="11:11" x14ac:dyDescent="0.45">
      <c r="K618">
        <v>40160.143289757587</v>
      </c>
    </row>
    <row r="619" spans="11:11" x14ac:dyDescent="0.45">
      <c r="K619">
        <v>25954.773873192578</v>
      </c>
    </row>
    <row r="620" spans="11:11" x14ac:dyDescent="0.45">
      <c r="K620">
        <v>25522.741122054784</v>
      </c>
    </row>
    <row r="621" spans="11:11" x14ac:dyDescent="0.45">
      <c r="K621">
        <v>34997.463846927916</v>
      </c>
    </row>
    <row r="622" spans="11:11" x14ac:dyDescent="0.45">
      <c r="K622">
        <v>30108.056896587361</v>
      </c>
    </row>
    <row r="623" spans="11:11" x14ac:dyDescent="0.45">
      <c r="K623">
        <v>50615.498103391015</v>
      </c>
    </row>
    <row r="624" spans="11:11" x14ac:dyDescent="0.45">
      <c r="K624">
        <v>54974.763978249655</v>
      </c>
    </row>
    <row r="625" spans="11:11" x14ac:dyDescent="0.45">
      <c r="K625">
        <v>23959.115313326838</v>
      </c>
    </row>
    <row r="626" spans="11:11" x14ac:dyDescent="0.45">
      <c r="K626">
        <v>26071.415077191232</v>
      </c>
    </row>
    <row r="627" spans="11:11" x14ac:dyDescent="0.45">
      <c r="K627">
        <v>38999.966411722453</v>
      </c>
    </row>
    <row r="628" spans="11:11" x14ac:dyDescent="0.45">
      <c r="K628">
        <v>41308.413482646225</v>
      </c>
    </row>
    <row r="629" spans="11:11" x14ac:dyDescent="0.45">
      <c r="K629">
        <v>22535.572059675957</v>
      </c>
    </row>
    <row r="630" spans="11:11" x14ac:dyDescent="0.45">
      <c r="K630">
        <v>42567.932915157377</v>
      </c>
    </row>
    <row r="631" spans="11:11" x14ac:dyDescent="0.45">
      <c r="K631">
        <v>38214.302147516908</v>
      </c>
    </row>
    <row r="632" spans="11:11" x14ac:dyDescent="0.45">
      <c r="K632">
        <v>44868.850353453337</v>
      </c>
    </row>
    <row r="633" spans="11:11" x14ac:dyDescent="0.45">
      <c r="K633">
        <v>37295.407243707872</v>
      </c>
    </row>
    <row r="634" spans="11:11" x14ac:dyDescent="0.45">
      <c r="K634">
        <v>37673.486547410641</v>
      </c>
    </row>
    <row r="635" spans="11:11" x14ac:dyDescent="0.45">
      <c r="K635">
        <v>5809.4774748429627</v>
      </c>
    </row>
    <row r="636" spans="11:11" x14ac:dyDescent="0.45">
      <c r="K636">
        <v>21052.110215115867</v>
      </c>
    </row>
    <row r="637" spans="11:11" x14ac:dyDescent="0.45">
      <c r="K637">
        <v>13669.429351237286</v>
      </c>
    </row>
    <row r="638" spans="11:11" x14ac:dyDescent="0.45">
      <c r="K638">
        <v>20307.883157332853</v>
      </c>
    </row>
    <row r="639" spans="11:11" x14ac:dyDescent="0.45">
      <c r="K639">
        <v>38990.396052068259</v>
      </c>
    </row>
    <row r="640" spans="11:11" x14ac:dyDescent="0.45">
      <c r="K640">
        <v>27363.802241841771</v>
      </c>
    </row>
    <row r="641" spans="11:11" x14ac:dyDescent="0.45">
      <c r="K641">
        <v>15760.73836634331</v>
      </c>
    </row>
    <row r="642" spans="11:11" x14ac:dyDescent="0.45">
      <c r="K642">
        <v>49097.005706090582</v>
      </c>
    </row>
    <row r="643" spans="11:11" x14ac:dyDescent="0.45">
      <c r="K643">
        <v>13076.002066678971</v>
      </c>
    </row>
    <row r="644" spans="11:11" x14ac:dyDescent="0.45">
      <c r="K644">
        <v>14078.716504935339</v>
      </c>
    </row>
    <row r="645" spans="11:11" x14ac:dyDescent="0.45">
      <c r="K645">
        <v>30067.805512706098</v>
      </c>
    </row>
    <row r="646" spans="11:11" x14ac:dyDescent="0.45">
      <c r="K646">
        <v>45676.626750552343</v>
      </c>
    </row>
    <row r="647" spans="11:11" x14ac:dyDescent="0.45">
      <c r="K647">
        <v>9075.2120664286849</v>
      </c>
    </row>
    <row r="648" spans="11:11" x14ac:dyDescent="0.45">
      <c r="K648">
        <v>30509.278721524293</v>
      </c>
    </row>
    <row r="649" spans="11:11" x14ac:dyDescent="0.45">
      <c r="K649">
        <v>27176.082428182344</v>
      </c>
    </row>
    <row r="650" spans="11:11" x14ac:dyDescent="0.45">
      <c r="K650">
        <v>15961.551796040076</v>
      </c>
    </row>
    <row r="651" spans="11:11" x14ac:dyDescent="0.45">
      <c r="K651">
        <v>39614.063261439878</v>
      </c>
    </row>
    <row r="652" spans="11:11" x14ac:dyDescent="0.45">
      <c r="K652">
        <v>10723.153770213128</v>
      </c>
    </row>
    <row r="653" spans="11:11" x14ac:dyDescent="0.45">
      <c r="K653">
        <v>33150.123625293825</v>
      </c>
    </row>
    <row r="654" spans="11:11" x14ac:dyDescent="0.45">
      <c r="K654">
        <v>45721.193774724939</v>
      </c>
    </row>
    <row r="655" spans="11:11" x14ac:dyDescent="0.45">
      <c r="K655">
        <v>48613.053222170027</v>
      </c>
    </row>
    <row r="656" spans="11:11" x14ac:dyDescent="0.45">
      <c r="K656">
        <v>19522.325063042234</v>
      </c>
    </row>
    <row r="657" spans="11:11" x14ac:dyDescent="0.45">
      <c r="K657">
        <v>29185.040614441918</v>
      </c>
    </row>
    <row r="658" spans="11:11" x14ac:dyDescent="0.45">
      <c r="K658">
        <v>41545.952664572171</v>
      </c>
    </row>
    <row r="659" spans="11:11" x14ac:dyDescent="0.45">
      <c r="K659">
        <v>26331.216711917332</v>
      </c>
    </row>
    <row r="660" spans="11:11" x14ac:dyDescent="0.45">
      <c r="K660">
        <v>27661.18592085311</v>
      </c>
    </row>
    <row r="661" spans="11:11" x14ac:dyDescent="0.45">
      <c r="K661">
        <v>14030.896966326145</v>
      </c>
    </row>
    <row r="662" spans="11:11" x14ac:dyDescent="0.45">
      <c r="K662">
        <v>38357.68411526479</v>
      </c>
    </row>
    <row r="663" spans="11:11" x14ac:dyDescent="0.45">
      <c r="K663">
        <v>44173.784437191978</v>
      </c>
    </row>
    <row r="664" spans="11:11" x14ac:dyDescent="0.45">
      <c r="K664">
        <v>33323.921636994477</v>
      </c>
    </row>
    <row r="665" spans="11:11" x14ac:dyDescent="0.45">
      <c r="K665">
        <v>25108.499368057557</v>
      </c>
    </row>
    <row r="666" spans="11:11" x14ac:dyDescent="0.45">
      <c r="K666">
        <v>30187.05845101599</v>
      </c>
    </row>
    <row r="667" spans="11:11" x14ac:dyDescent="0.45">
      <c r="K667">
        <v>37026.037218856742</v>
      </c>
    </row>
    <row r="668" spans="11:11" x14ac:dyDescent="0.45">
      <c r="K668">
        <v>31050.539318270676</v>
      </c>
    </row>
    <row r="669" spans="11:11" x14ac:dyDescent="0.45">
      <c r="K669">
        <v>24458.600118876966</v>
      </c>
    </row>
    <row r="670" spans="11:11" x14ac:dyDescent="0.45">
      <c r="K670">
        <v>37543.717815060147</v>
      </c>
    </row>
    <row r="671" spans="11:11" x14ac:dyDescent="0.45">
      <c r="K671">
        <v>32665.78719737873</v>
      </c>
    </row>
    <row r="672" spans="11:11" x14ac:dyDescent="0.45">
      <c r="K672">
        <v>38805.463364664225</v>
      </c>
    </row>
    <row r="673" spans="11:11" x14ac:dyDescent="0.45">
      <c r="K673">
        <v>26929.105834135171</v>
      </c>
    </row>
    <row r="674" spans="11:11" x14ac:dyDescent="0.45">
      <c r="K674">
        <v>46796.050544341168</v>
      </c>
    </row>
    <row r="675" spans="11:11" x14ac:dyDescent="0.45">
      <c r="K675">
        <v>29536.018809694702</v>
      </c>
    </row>
    <row r="676" spans="11:11" x14ac:dyDescent="0.45">
      <c r="K676">
        <v>25058.05814000544</v>
      </c>
    </row>
    <row r="677" spans="11:11" x14ac:dyDescent="0.45">
      <c r="K677">
        <v>1624.6683726962947</v>
      </c>
    </row>
    <row r="678" spans="11:11" x14ac:dyDescent="0.45">
      <c r="K678">
        <v>37331.773835440348</v>
      </c>
    </row>
    <row r="679" spans="11:11" x14ac:dyDescent="0.45">
      <c r="K679">
        <v>40774.630850523317</v>
      </c>
    </row>
    <row r="680" spans="11:11" x14ac:dyDescent="0.45">
      <c r="K680">
        <v>37167.607003693483</v>
      </c>
    </row>
    <row r="681" spans="11:11" x14ac:dyDescent="0.45">
      <c r="K681">
        <v>26519.821105330553</v>
      </c>
    </row>
    <row r="682" spans="11:11" x14ac:dyDescent="0.45">
      <c r="K682">
        <v>31279.83357787635</v>
      </c>
    </row>
    <row r="683" spans="11:11" x14ac:dyDescent="0.45">
      <c r="K683">
        <v>34052.42634623553</v>
      </c>
    </row>
    <row r="684" spans="11:11" x14ac:dyDescent="0.45">
      <c r="K684">
        <v>24722.388366015395</v>
      </c>
    </row>
    <row r="685" spans="11:11" x14ac:dyDescent="0.45">
      <c r="K685">
        <v>12941.685251910425</v>
      </c>
    </row>
    <row r="686" spans="11:11" x14ac:dyDescent="0.45">
      <c r="K686">
        <v>20217.259454747211</v>
      </c>
    </row>
    <row r="687" spans="11:11" x14ac:dyDescent="0.45">
      <c r="K687">
        <v>32770.925099707994</v>
      </c>
    </row>
    <row r="688" spans="11:11" x14ac:dyDescent="0.45">
      <c r="K688">
        <v>16996.266029774604</v>
      </c>
    </row>
    <row r="689" spans="11:11" x14ac:dyDescent="0.45">
      <c r="K689">
        <v>33602.294084970483</v>
      </c>
    </row>
    <row r="690" spans="11:11" x14ac:dyDescent="0.45">
      <c r="K690">
        <v>25042.90076515924</v>
      </c>
    </row>
    <row r="691" spans="11:11" x14ac:dyDescent="0.45">
      <c r="K691">
        <v>59122.463695869781</v>
      </c>
    </row>
    <row r="692" spans="11:11" x14ac:dyDescent="0.45">
      <c r="K692">
        <v>29584.829552836309</v>
      </c>
    </row>
    <row r="693" spans="11:11" x14ac:dyDescent="0.45">
      <c r="K693">
        <v>33293.546524061632</v>
      </c>
    </row>
    <row r="694" spans="11:11" x14ac:dyDescent="0.45">
      <c r="K694">
        <v>33608.380188931238</v>
      </c>
    </row>
    <row r="695" spans="11:11" x14ac:dyDescent="0.45">
      <c r="K695">
        <v>21207.251949498248</v>
      </c>
    </row>
    <row r="696" spans="11:11" x14ac:dyDescent="0.45">
      <c r="K696">
        <v>41580.794159415091</v>
      </c>
    </row>
    <row r="697" spans="11:11" x14ac:dyDescent="0.45">
      <c r="K697">
        <v>13110.950814852069</v>
      </c>
    </row>
    <row r="698" spans="11:11" x14ac:dyDescent="0.45">
      <c r="K698">
        <v>42072.35968161669</v>
      </c>
    </row>
    <row r="699" spans="11:11" x14ac:dyDescent="0.45">
      <c r="K699">
        <v>50408.930315309626</v>
      </c>
    </row>
    <row r="700" spans="11:11" x14ac:dyDescent="0.45">
      <c r="K700">
        <v>25733.604051068476</v>
      </c>
    </row>
    <row r="701" spans="11:11" x14ac:dyDescent="0.45">
      <c r="K701">
        <v>37393.540935775185</v>
      </c>
    </row>
    <row r="702" spans="11:11" x14ac:dyDescent="0.45">
      <c r="K702">
        <v>46620.792418358265</v>
      </c>
    </row>
    <row r="703" spans="11:11" x14ac:dyDescent="0.45">
      <c r="K703">
        <v>35762.628495027362</v>
      </c>
    </row>
    <row r="704" spans="11:11" x14ac:dyDescent="0.45">
      <c r="K704">
        <v>30848.880457936593</v>
      </c>
    </row>
    <row r="705" spans="11:11" x14ac:dyDescent="0.45">
      <c r="K705">
        <v>35263.872459718739</v>
      </c>
    </row>
    <row r="706" spans="11:11" x14ac:dyDescent="0.45">
      <c r="K706">
        <v>18576.658211778238</v>
      </c>
    </row>
    <row r="707" spans="11:11" x14ac:dyDescent="0.45">
      <c r="K707">
        <v>34869.963749174065</v>
      </c>
    </row>
    <row r="708" spans="11:11" x14ac:dyDescent="0.45">
      <c r="K708">
        <v>46348.460650589666</v>
      </c>
    </row>
    <row r="709" spans="11:11" x14ac:dyDescent="0.45">
      <c r="K709">
        <v>25444.691319247955</v>
      </c>
    </row>
    <row r="710" spans="11:11" x14ac:dyDescent="0.45">
      <c r="K710">
        <v>36585.876429329146</v>
      </c>
    </row>
    <row r="711" spans="11:11" x14ac:dyDescent="0.45">
      <c r="K711">
        <v>53863.570112784924</v>
      </c>
    </row>
    <row r="712" spans="11:11" x14ac:dyDescent="0.45">
      <c r="K712">
        <v>35106.608403822218</v>
      </c>
    </row>
    <row r="713" spans="11:11" x14ac:dyDescent="0.45">
      <c r="K713">
        <v>53921.332775598676</v>
      </c>
    </row>
    <row r="714" spans="11:11" x14ac:dyDescent="0.45">
      <c r="K714">
        <v>48569.742339481192</v>
      </c>
    </row>
    <row r="715" spans="11:11" x14ac:dyDescent="0.45">
      <c r="K715">
        <v>11364.901068887953</v>
      </c>
    </row>
    <row r="716" spans="11:11" x14ac:dyDescent="0.45">
      <c r="K716">
        <v>28432.445199599999</v>
      </c>
    </row>
    <row r="717" spans="11:11" x14ac:dyDescent="0.45">
      <c r="K717">
        <v>32450.154036144708</v>
      </c>
    </row>
    <row r="718" spans="11:11" x14ac:dyDescent="0.45">
      <c r="K718">
        <v>32043.011007075856</v>
      </c>
    </row>
    <row r="719" spans="11:11" x14ac:dyDescent="0.45">
      <c r="K719">
        <v>26087.180231374485</v>
      </c>
    </row>
    <row r="720" spans="11:11" x14ac:dyDescent="0.45">
      <c r="K720">
        <v>27207.184525498473</v>
      </c>
    </row>
    <row r="721" spans="11:11" x14ac:dyDescent="0.45">
      <c r="K721">
        <v>46313.864129784342</v>
      </c>
    </row>
    <row r="722" spans="11:11" x14ac:dyDescent="0.45">
      <c r="K722">
        <v>17964.366754305131</v>
      </c>
    </row>
    <row r="723" spans="11:11" x14ac:dyDescent="0.45">
      <c r="K723">
        <v>40333.228439293918</v>
      </c>
    </row>
    <row r="724" spans="11:11" x14ac:dyDescent="0.45">
      <c r="K724">
        <v>26806.092147733172</v>
      </c>
    </row>
    <row r="725" spans="11:11" x14ac:dyDescent="0.45">
      <c r="K725">
        <v>39135.532370982153</v>
      </c>
    </row>
    <row r="726" spans="11:11" x14ac:dyDescent="0.45">
      <c r="K726">
        <v>3016.0247702029847</v>
      </c>
    </row>
    <row r="727" spans="11:11" x14ac:dyDescent="0.45">
      <c r="K727">
        <v>38417.613291326801</v>
      </c>
    </row>
    <row r="728" spans="11:11" x14ac:dyDescent="0.45">
      <c r="K728">
        <v>36807.564075455215</v>
      </c>
    </row>
    <row r="729" spans="11:11" x14ac:dyDescent="0.45">
      <c r="K729">
        <v>19581.89337947985</v>
      </c>
    </row>
    <row r="730" spans="11:11" x14ac:dyDescent="0.45">
      <c r="K730">
        <v>32120.259699735241</v>
      </c>
    </row>
    <row r="731" spans="11:11" x14ac:dyDescent="0.45">
      <c r="K731">
        <v>7508.2571945298514</v>
      </c>
    </row>
    <row r="732" spans="11:11" x14ac:dyDescent="0.45">
      <c r="K732">
        <v>34902.63206218744</v>
      </c>
    </row>
    <row r="733" spans="11:11" x14ac:dyDescent="0.45">
      <c r="K733">
        <v>47939.841616485362</v>
      </c>
    </row>
    <row r="734" spans="11:11" x14ac:dyDescent="0.45">
      <c r="K734">
        <v>12260.403113294473</v>
      </c>
    </row>
    <row r="735" spans="11:11" x14ac:dyDescent="0.45">
      <c r="K735">
        <v>35797.0021952647</v>
      </c>
    </row>
    <row r="736" spans="11:11" x14ac:dyDescent="0.45">
      <c r="K736">
        <v>33413.919567402394</v>
      </c>
    </row>
    <row r="737" spans="11:11" x14ac:dyDescent="0.45">
      <c r="K737">
        <v>44131.352859703868</v>
      </c>
    </row>
    <row r="738" spans="11:11" x14ac:dyDescent="0.45">
      <c r="K738">
        <v>58480.770374252854</v>
      </c>
    </row>
    <row r="739" spans="11:11" x14ac:dyDescent="0.45">
      <c r="K739">
        <v>40985.390471470761</v>
      </c>
    </row>
    <row r="740" spans="11:11" x14ac:dyDescent="0.45">
      <c r="K740">
        <v>23621.643944461604</v>
      </c>
    </row>
    <row r="741" spans="11:11" x14ac:dyDescent="0.45">
      <c r="K741">
        <v>40141.54645379875</v>
      </c>
    </row>
    <row r="742" spans="11:11" x14ac:dyDescent="0.45">
      <c r="K742">
        <v>30039.229779089383</v>
      </c>
    </row>
    <row r="743" spans="11:11" x14ac:dyDescent="0.45">
      <c r="K743">
        <v>34890.521289209115</v>
      </c>
    </row>
    <row r="744" spans="11:11" x14ac:dyDescent="0.45">
      <c r="K744">
        <v>43050.117986979021</v>
      </c>
    </row>
    <row r="745" spans="11:11" x14ac:dyDescent="0.45">
      <c r="K745">
        <v>28065.795861157698</v>
      </c>
    </row>
    <row r="746" spans="11:11" x14ac:dyDescent="0.45">
      <c r="K746">
        <v>20579.197512254348</v>
      </c>
    </row>
    <row r="747" spans="11:11" x14ac:dyDescent="0.45">
      <c r="K747">
        <v>21898.972777142615</v>
      </c>
    </row>
    <row r="748" spans="11:11" x14ac:dyDescent="0.45">
      <c r="K748">
        <v>17751.437441920541</v>
      </c>
    </row>
    <row r="749" spans="11:11" x14ac:dyDescent="0.45">
      <c r="K749">
        <v>34589.078188613443</v>
      </c>
    </row>
    <row r="750" spans="11:11" x14ac:dyDescent="0.45">
      <c r="K750">
        <v>47928.525048196258</v>
      </c>
    </row>
    <row r="751" spans="11:11" x14ac:dyDescent="0.45">
      <c r="K751">
        <v>12862.773593260044</v>
      </c>
    </row>
    <row r="752" spans="11:11" x14ac:dyDescent="0.45">
      <c r="K752">
        <v>39179.768287968604</v>
      </c>
    </row>
    <row r="753" spans="11:11" x14ac:dyDescent="0.45">
      <c r="K753">
        <v>42949.287230768095</v>
      </c>
    </row>
    <row r="754" spans="11:11" x14ac:dyDescent="0.45">
      <c r="K754">
        <v>31188.069247820978</v>
      </c>
    </row>
    <row r="755" spans="11:11" x14ac:dyDescent="0.45">
      <c r="K755">
        <v>37064.569933759631</v>
      </c>
    </row>
    <row r="756" spans="11:11" x14ac:dyDescent="0.45">
      <c r="K756">
        <v>23648.1096165411</v>
      </c>
    </row>
    <row r="757" spans="11:11" x14ac:dyDescent="0.45">
      <c r="K757">
        <v>23687.167927945025</v>
      </c>
    </row>
    <row r="758" spans="11:11" x14ac:dyDescent="0.45">
      <c r="K758">
        <v>36513.469702041737</v>
      </c>
    </row>
    <row r="759" spans="11:11" x14ac:dyDescent="0.45">
      <c r="K759">
        <v>50298.969236861594</v>
      </c>
    </row>
    <row r="760" spans="11:11" x14ac:dyDescent="0.45">
      <c r="K760">
        <v>30391.481049642076</v>
      </c>
    </row>
    <row r="761" spans="11:11" x14ac:dyDescent="0.45">
      <c r="K761">
        <v>41637.526118277907</v>
      </c>
    </row>
    <row r="762" spans="11:11" x14ac:dyDescent="0.45">
      <c r="K762">
        <v>30734.701006301839</v>
      </c>
    </row>
    <row r="763" spans="11:11" x14ac:dyDescent="0.45">
      <c r="K763">
        <v>18883.7079155174</v>
      </c>
    </row>
    <row r="764" spans="11:11" x14ac:dyDescent="0.45">
      <c r="K764">
        <v>19691.871107882092</v>
      </c>
    </row>
    <row r="765" spans="11:11" x14ac:dyDescent="0.45">
      <c r="K765">
        <v>53793.422267620874</v>
      </c>
    </row>
    <row r="766" spans="11:11" x14ac:dyDescent="0.45">
      <c r="K766">
        <v>44502.012371542442</v>
      </c>
    </row>
    <row r="767" spans="11:11" x14ac:dyDescent="0.45">
      <c r="K767">
        <v>48141.826504815683</v>
      </c>
    </row>
    <row r="768" spans="11:11" x14ac:dyDescent="0.45">
      <c r="K768">
        <v>26166.868509978296</v>
      </c>
    </row>
    <row r="769" spans="11:11" x14ac:dyDescent="0.45">
      <c r="K769">
        <v>18806.309723601051</v>
      </c>
    </row>
    <row r="770" spans="11:11" x14ac:dyDescent="0.45">
      <c r="K770">
        <v>57207.086658289074</v>
      </c>
    </row>
    <row r="771" spans="11:11" x14ac:dyDescent="0.45">
      <c r="K771">
        <v>40513.394942409504</v>
      </c>
    </row>
    <row r="772" spans="11:11" x14ac:dyDescent="0.45">
      <c r="K772">
        <v>50174.715209753136</v>
      </c>
    </row>
    <row r="773" spans="11:11" x14ac:dyDescent="0.45">
      <c r="K773">
        <v>20750.654755782656</v>
      </c>
    </row>
    <row r="774" spans="11:11" x14ac:dyDescent="0.45">
      <c r="K774">
        <v>9854.3220669005204</v>
      </c>
    </row>
    <row r="775" spans="11:11" x14ac:dyDescent="0.45">
      <c r="K775">
        <v>26698.555099677047</v>
      </c>
    </row>
    <row r="776" spans="11:11" x14ac:dyDescent="0.45">
      <c r="K776">
        <v>54175.652474626826</v>
      </c>
    </row>
    <row r="777" spans="11:11" x14ac:dyDescent="0.45">
      <c r="K777">
        <v>29424.905599379075</v>
      </c>
    </row>
    <row r="778" spans="11:11" x14ac:dyDescent="0.45">
      <c r="K778">
        <v>35571.781065700125</v>
      </c>
    </row>
    <row r="779" spans="11:11" x14ac:dyDescent="0.45">
      <c r="K779">
        <v>21903.17076839284</v>
      </c>
    </row>
    <row r="780" spans="11:11" x14ac:dyDescent="0.45">
      <c r="K780">
        <v>33736.152156763826</v>
      </c>
    </row>
    <row r="781" spans="11:11" x14ac:dyDescent="0.45">
      <c r="K781">
        <v>41951.642528081342</v>
      </c>
    </row>
    <row r="782" spans="11:11" x14ac:dyDescent="0.45">
      <c r="K782">
        <v>30841.946263318856</v>
      </c>
    </row>
    <row r="783" spans="11:11" x14ac:dyDescent="0.45">
      <c r="K783">
        <v>39990.74067749612</v>
      </c>
    </row>
    <row r="784" spans="11:11" x14ac:dyDescent="0.45">
      <c r="K784">
        <v>35185.469333397974</v>
      </c>
    </row>
    <row r="785" spans="11:11" x14ac:dyDescent="0.45">
      <c r="K785">
        <v>38918.574546137592</v>
      </c>
    </row>
    <row r="786" spans="11:11" x14ac:dyDescent="0.45">
      <c r="K786">
        <v>10118.689832085409</v>
      </c>
    </row>
    <row r="787" spans="11:11" x14ac:dyDescent="0.45">
      <c r="K787">
        <v>26873.613890264187</v>
      </c>
    </row>
    <row r="788" spans="11:11" x14ac:dyDescent="0.45">
      <c r="K788">
        <v>21535.858841123685</v>
      </c>
    </row>
    <row r="789" spans="11:11" x14ac:dyDescent="0.45">
      <c r="K789">
        <v>28099.436390555813</v>
      </c>
    </row>
    <row r="790" spans="11:11" x14ac:dyDescent="0.45">
      <c r="K790">
        <v>38883.026056095427</v>
      </c>
    </row>
    <row r="791" spans="11:11" x14ac:dyDescent="0.45">
      <c r="K791">
        <v>25856.790999049044</v>
      </c>
    </row>
    <row r="792" spans="11:11" x14ac:dyDescent="0.45">
      <c r="K792">
        <v>14193.429856197763</v>
      </c>
    </row>
    <row r="793" spans="11:11" x14ac:dyDescent="0.45">
      <c r="K793">
        <v>43284.61775417126</v>
      </c>
    </row>
    <row r="794" spans="11:11" x14ac:dyDescent="0.45">
      <c r="K794">
        <v>32006.657176219007</v>
      </c>
    </row>
    <row r="795" spans="11:11" x14ac:dyDescent="0.45">
      <c r="K795">
        <v>32695.79678775791</v>
      </c>
    </row>
    <row r="796" spans="11:11" x14ac:dyDescent="0.45">
      <c r="K796">
        <v>30501.05401112097</v>
      </c>
    </row>
    <row r="797" spans="11:11" x14ac:dyDescent="0.45">
      <c r="K797">
        <v>42809.318564918045</v>
      </c>
    </row>
    <row r="798" spans="11:11" x14ac:dyDescent="0.45">
      <c r="K798">
        <v>36242.267531761718</v>
      </c>
    </row>
    <row r="799" spans="11:11" x14ac:dyDescent="0.45">
      <c r="K799">
        <v>32300.55796980398</v>
      </c>
    </row>
    <row r="800" spans="11:11" x14ac:dyDescent="0.45">
      <c r="K800">
        <v>34018.841246264972</v>
      </c>
    </row>
    <row r="801" spans="11:11" x14ac:dyDescent="0.45">
      <c r="K801">
        <v>24796.795626485891</v>
      </c>
    </row>
    <row r="802" spans="11:11" x14ac:dyDescent="0.45">
      <c r="K802">
        <v>50646.165048867042</v>
      </c>
    </row>
    <row r="803" spans="11:11" x14ac:dyDescent="0.45">
      <c r="K803">
        <v>31818.003093937266</v>
      </c>
    </row>
    <row r="804" spans="11:11" x14ac:dyDescent="0.45">
      <c r="K804">
        <v>30051.416740604142</v>
      </c>
    </row>
    <row r="805" spans="11:11" x14ac:dyDescent="0.45">
      <c r="K805">
        <v>26526.871105126287</v>
      </c>
    </row>
    <row r="806" spans="11:11" x14ac:dyDescent="0.45">
      <c r="K806">
        <v>32371.240339202563</v>
      </c>
    </row>
    <row r="807" spans="11:11" x14ac:dyDescent="0.45">
      <c r="K807">
        <v>44463.321434069505</v>
      </c>
    </row>
    <row r="808" spans="11:11" x14ac:dyDescent="0.45">
      <c r="K808">
        <v>34813.987064866436</v>
      </c>
    </row>
    <row r="809" spans="11:11" x14ac:dyDescent="0.45">
      <c r="K809">
        <v>25054.322022021188</v>
      </c>
    </row>
    <row r="810" spans="11:11" x14ac:dyDescent="0.45">
      <c r="K810">
        <v>18112.940182036127</v>
      </c>
    </row>
    <row r="811" spans="11:11" x14ac:dyDescent="0.45">
      <c r="K811">
        <v>9724.1420970881518</v>
      </c>
    </row>
    <row r="812" spans="11:11" x14ac:dyDescent="0.45">
      <c r="K812">
        <v>36813.76025986993</v>
      </c>
    </row>
    <row r="813" spans="11:11" x14ac:dyDescent="0.45">
      <c r="K813">
        <v>16612.071030508752</v>
      </c>
    </row>
    <row r="814" spans="11:11" x14ac:dyDescent="0.45">
      <c r="K814">
        <v>45134.166861162907</v>
      </c>
    </row>
    <row r="815" spans="11:11" x14ac:dyDescent="0.45">
      <c r="K815">
        <v>21953.102583042004</v>
      </c>
    </row>
    <row r="816" spans="11:11" x14ac:dyDescent="0.45">
      <c r="K816">
        <v>31471.181786644822</v>
      </c>
    </row>
    <row r="817" spans="11:11" x14ac:dyDescent="0.45">
      <c r="K817">
        <v>21078.764085662908</v>
      </c>
    </row>
    <row r="818" spans="11:11" x14ac:dyDescent="0.45">
      <c r="K818">
        <v>17464.330378298699</v>
      </c>
    </row>
    <row r="819" spans="11:11" x14ac:dyDescent="0.45">
      <c r="K819">
        <v>20658.990293928622</v>
      </c>
    </row>
    <row r="820" spans="11:11" x14ac:dyDescent="0.45">
      <c r="K820">
        <v>46944.1074586248</v>
      </c>
    </row>
    <row r="821" spans="11:11" x14ac:dyDescent="0.45">
      <c r="K821">
        <v>17817.453453408329</v>
      </c>
    </row>
    <row r="822" spans="11:11" x14ac:dyDescent="0.45">
      <c r="K822">
        <v>32775.549704250545</v>
      </c>
    </row>
    <row r="823" spans="11:11" x14ac:dyDescent="0.45">
      <c r="K823">
        <v>33775.219907871695</v>
      </c>
    </row>
    <row r="824" spans="11:11" x14ac:dyDescent="0.45">
      <c r="K824">
        <v>30962.344295147173</v>
      </c>
    </row>
    <row r="825" spans="11:11" x14ac:dyDescent="0.45">
      <c r="K825">
        <v>27071.304489379851</v>
      </c>
    </row>
    <row r="826" spans="11:11" x14ac:dyDescent="0.45">
      <c r="K826">
        <v>43576.043284302599</v>
      </c>
    </row>
    <row r="827" spans="11:11" x14ac:dyDescent="0.45">
      <c r="K827">
        <v>17323.453330491648</v>
      </c>
    </row>
    <row r="828" spans="11:11" x14ac:dyDescent="0.45">
      <c r="K828">
        <v>27932.692374212536</v>
      </c>
    </row>
    <row r="829" spans="11:11" x14ac:dyDescent="0.45">
      <c r="K829">
        <v>40827.370991570417</v>
      </c>
    </row>
    <row r="830" spans="11:11" x14ac:dyDescent="0.45">
      <c r="K830">
        <v>23962.040866804007</v>
      </c>
    </row>
    <row r="831" spans="11:11" x14ac:dyDescent="0.45">
      <c r="K831">
        <v>46765.83745144945</v>
      </c>
    </row>
    <row r="832" spans="11:11" x14ac:dyDescent="0.45">
      <c r="K832">
        <v>37118.592667548684</v>
      </c>
    </row>
    <row r="833" spans="11:11" x14ac:dyDescent="0.45">
      <c r="K833">
        <v>54088.973797867635</v>
      </c>
    </row>
    <row r="834" spans="11:11" x14ac:dyDescent="0.45">
      <c r="K834">
        <v>22581.03706382629</v>
      </c>
    </row>
    <row r="835" spans="11:11" x14ac:dyDescent="0.45">
      <c r="K835">
        <v>33897.470756541057</v>
      </c>
    </row>
    <row r="836" spans="11:11" x14ac:dyDescent="0.45">
      <c r="K836">
        <v>16934.880665034478</v>
      </c>
    </row>
    <row r="837" spans="11:11" x14ac:dyDescent="0.45">
      <c r="K837">
        <v>27905.425607165787</v>
      </c>
    </row>
    <row r="838" spans="11:11" x14ac:dyDescent="0.45">
      <c r="K838">
        <v>24593.064565146564</v>
      </c>
    </row>
    <row r="839" spans="11:11" x14ac:dyDescent="0.45">
      <c r="K839">
        <v>48941.760387139235</v>
      </c>
    </row>
    <row r="840" spans="11:11" x14ac:dyDescent="0.45">
      <c r="K840">
        <v>24308.029833702421</v>
      </c>
    </row>
    <row r="841" spans="11:11" x14ac:dyDescent="0.45">
      <c r="K841">
        <v>30943.824145564802</v>
      </c>
    </row>
    <row r="842" spans="11:11" x14ac:dyDescent="0.45">
      <c r="K842">
        <v>33934.695699360906</v>
      </c>
    </row>
    <row r="843" spans="11:11" x14ac:dyDescent="0.45">
      <c r="K843">
        <v>48980.830929143463</v>
      </c>
    </row>
    <row r="844" spans="11:11" x14ac:dyDescent="0.45">
      <c r="K844">
        <v>16984.833634346862</v>
      </c>
    </row>
    <row r="845" spans="11:11" x14ac:dyDescent="0.45">
      <c r="K845">
        <v>23855.462012695629</v>
      </c>
    </row>
    <row r="846" spans="11:11" x14ac:dyDescent="0.45">
      <c r="K846">
        <v>48208.934291507911</v>
      </c>
    </row>
    <row r="847" spans="11:11" x14ac:dyDescent="0.45">
      <c r="K847">
        <v>44163.819406628558</v>
      </c>
    </row>
    <row r="848" spans="11:11" x14ac:dyDescent="0.45">
      <c r="K848">
        <v>43164.646953565127</v>
      </c>
    </row>
    <row r="849" spans="11:11" x14ac:dyDescent="0.45">
      <c r="K849">
        <v>38033.071553897804</v>
      </c>
    </row>
    <row r="850" spans="11:11" x14ac:dyDescent="0.45">
      <c r="K850">
        <v>37981.193811670826</v>
      </c>
    </row>
    <row r="851" spans="11:11" x14ac:dyDescent="0.45">
      <c r="K851">
        <v>31775.101828652787</v>
      </c>
    </row>
    <row r="852" spans="11:11" x14ac:dyDescent="0.45">
      <c r="K852">
        <v>58824.278908602981</v>
      </c>
    </row>
    <row r="853" spans="11:11" x14ac:dyDescent="0.45">
      <c r="K853">
        <v>24943.568550878314</v>
      </c>
    </row>
    <row r="854" spans="11:11" x14ac:dyDescent="0.45">
      <c r="K854">
        <v>18616.245010148996</v>
      </c>
    </row>
    <row r="855" spans="11:11" x14ac:dyDescent="0.45">
      <c r="K855">
        <v>35391.065606411918</v>
      </c>
    </row>
    <row r="856" spans="11:11" x14ac:dyDescent="0.45">
      <c r="K856">
        <v>41661.970469791908</v>
      </c>
    </row>
    <row r="857" spans="11:11" x14ac:dyDescent="0.45">
      <c r="K857">
        <v>17052.635966496913</v>
      </c>
    </row>
    <row r="858" spans="11:11" x14ac:dyDescent="0.45">
      <c r="K858">
        <v>47431.275499694442</v>
      </c>
    </row>
    <row r="859" spans="11:11" x14ac:dyDescent="0.45">
      <c r="K859">
        <v>0</v>
      </c>
    </row>
    <row r="860" spans="11:11" x14ac:dyDescent="0.45">
      <c r="K860">
        <v>32572.902568096433</v>
      </c>
    </row>
    <row r="861" spans="11:11" x14ac:dyDescent="0.45">
      <c r="K861">
        <v>40099.162038070259</v>
      </c>
    </row>
    <row r="862" spans="11:11" x14ac:dyDescent="0.45">
      <c r="K862">
        <v>24372.386044996623</v>
      </c>
    </row>
    <row r="863" spans="11:11" x14ac:dyDescent="0.45">
      <c r="K863">
        <v>54462.989963333457</v>
      </c>
    </row>
    <row r="864" spans="11:11" x14ac:dyDescent="0.45">
      <c r="K864">
        <v>22798.803533486815</v>
      </c>
    </row>
    <row r="865" spans="11:11" x14ac:dyDescent="0.45">
      <c r="K865">
        <v>26620.783815877534</v>
      </c>
    </row>
    <row r="866" spans="11:11" x14ac:dyDescent="0.45">
      <c r="K866">
        <v>32183.573180227038</v>
      </c>
    </row>
    <row r="867" spans="11:11" x14ac:dyDescent="0.45">
      <c r="K867">
        <v>33147.357449955598</v>
      </c>
    </row>
    <row r="868" spans="11:11" x14ac:dyDescent="0.45">
      <c r="K868">
        <v>31783.769587430968</v>
      </c>
    </row>
    <row r="869" spans="11:11" x14ac:dyDescent="0.45">
      <c r="K869">
        <v>26547.492441609564</v>
      </c>
    </row>
    <row r="870" spans="11:11" x14ac:dyDescent="0.45">
      <c r="K870">
        <v>31126.591696023512</v>
      </c>
    </row>
    <row r="871" spans="11:11" x14ac:dyDescent="0.45">
      <c r="K871">
        <v>31134.259644311554</v>
      </c>
    </row>
    <row r="872" spans="11:11" x14ac:dyDescent="0.45">
      <c r="K872">
        <v>16910.156271780746</v>
      </c>
    </row>
    <row r="873" spans="11:11" x14ac:dyDescent="0.45">
      <c r="K873">
        <v>27116.831308063109</v>
      </c>
    </row>
    <row r="874" spans="11:11" x14ac:dyDescent="0.45">
      <c r="K874">
        <v>34175.771218127898</v>
      </c>
    </row>
    <row r="875" spans="11:11" x14ac:dyDescent="0.45">
      <c r="K875">
        <v>3755.4262134639648</v>
      </c>
    </row>
    <row r="876" spans="11:11" x14ac:dyDescent="0.45">
      <c r="K876">
        <v>52190.873767279452</v>
      </c>
    </row>
    <row r="877" spans="11:11" x14ac:dyDescent="0.45">
      <c r="K877">
        <v>40287.053071337294</v>
      </c>
    </row>
    <row r="878" spans="11:11" x14ac:dyDescent="0.45">
      <c r="K878">
        <v>23401.452269992824</v>
      </c>
    </row>
    <row r="879" spans="11:11" x14ac:dyDescent="0.45">
      <c r="K879">
        <v>23133.249851776789</v>
      </c>
    </row>
    <row r="880" spans="11:11" x14ac:dyDescent="0.45">
      <c r="K880">
        <v>13745.425744773162</v>
      </c>
    </row>
    <row r="881" spans="11:11" x14ac:dyDescent="0.45">
      <c r="K881">
        <v>32373.587664341965</v>
      </c>
    </row>
    <row r="882" spans="11:11" x14ac:dyDescent="0.45">
      <c r="K882">
        <v>39961.788756484166</v>
      </c>
    </row>
    <row r="883" spans="11:11" x14ac:dyDescent="0.45">
      <c r="K883">
        <v>18666.750092168768</v>
      </c>
    </row>
    <row r="884" spans="11:11" x14ac:dyDescent="0.45">
      <c r="K884">
        <v>27453.887396665628</v>
      </c>
    </row>
    <row r="885" spans="11:11" x14ac:dyDescent="0.45">
      <c r="K885">
        <v>19345.147600880864</v>
      </c>
    </row>
    <row r="886" spans="11:11" x14ac:dyDescent="0.45">
      <c r="K886">
        <v>39060.522135458355</v>
      </c>
    </row>
    <row r="887" spans="11:11" x14ac:dyDescent="0.45">
      <c r="K887">
        <v>36260.604435199944</v>
      </c>
    </row>
    <row r="888" spans="11:11" x14ac:dyDescent="0.45">
      <c r="K888">
        <v>33537.14685715361</v>
      </c>
    </row>
    <row r="889" spans="11:11" x14ac:dyDescent="0.45">
      <c r="K889">
        <v>30500.133188183645</v>
      </c>
    </row>
    <row r="890" spans="11:11" x14ac:dyDescent="0.45">
      <c r="K890">
        <v>36716.269894773126</v>
      </c>
    </row>
    <row r="891" spans="11:11" x14ac:dyDescent="0.45">
      <c r="K891">
        <v>28493.856033122818</v>
      </c>
    </row>
    <row r="892" spans="11:11" x14ac:dyDescent="0.45">
      <c r="K892">
        <v>33055.385639471715</v>
      </c>
    </row>
    <row r="893" spans="11:11" x14ac:dyDescent="0.45">
      <c r="K893">
        <v>26806.253168660758</v>
      </c>
    </row>
    <row r="894" spans="11:11" x14ac:dyDescent="0.45">
      <c r="K894">
        <v>43508.297910083005</v>
      </c>
    </row>
    <row r="895" spans="11:11" x14ac:dyDescent="0.45">
      <c r="K895">
        <v>46251.416356435861</v>
      </c>
    </row>
    <row r="896" spans="11:11" x14ac:dyDescent="0.45">
      <c r="K896">
        <v>46580.018076767374</v>
      </c>
    </row>
    <row r="897" spans="11:11" x14ac:dyDescent="0.45">
      <c r="K897">
        <v>22474.286418487631</v>
      </c>
    </row>
    <row r="898" spans="11:11" x14ac:dyDescent="0.45">
      <c r="K898">
        <v>45267.164946152727</v>
      </c>
    </row>
    <row r="899" spans="11:11" x14ac:dyDescent="0.45">
      <c r="K899">
        <v>26873.630826226796</v>
      </c>
    </row>
    <row r="900" spans="11:11" x14ac:dyDescent="0.45">
      <c r="K900">
        <v>55350.211619704161</v>
      </c>
    </row>
    <row r="901" spans="11:11" x14ac:dyDescent="0.45">
      <c r="K901">
        <v>46243.701294370127</v>
      </c>
    </row>
    <row r="902" spans="11:11" x14ac:dyDescent="0.45">
      <c r="K902">
        <v>38740.027881603259</v>
      </c>
    </row>
    <row r="903" spans="11:11" x14ac:dyDescent="0.45">
      <c r="K903">
        <v>25969.95830465178</v>
      </c>
    </row>
    <row r="904" spans="11:11" x14ac:dyDescent="0.45">
      <c r="K904">
        <v>18945.728785382584</v>
      </c>
    </row>
    <row r="905" spans="11:11" x14ac:dyDescent="0.45">
      <c r="K905">
        <v>25023.232187516493</v>
      </c>
    </row>
    <row r="906" spans="11:11" x14ac:dyDescent="0.45">
      <c r="K906">
        <v>30037.34611083545</v>
      </c>
    </row>
    <row r="907" spans="11:11" x14ac:dyDescent="0.45">
      <c r="K907">
        <v>31942.890518356755</v>
      </c>
    </row>
    <row r="908" spans="11:11" x14ac:dyDescent="0.45">
      <c r="K908">
        <v>30925.960078544907</v>
      </c>
    </row>
    <row r="909" spans="11:11" x14ac:dyDescent="0.45">
      <c r="K909">
        <v>53607.237510380772</v>
      </c>
    </row>
    <row r="910" spans="11:11" x14ac:dyDescent="0.45">
      <c r="K910">
        <v>27610.727786763717</v>
      </c>
    </row>
    <row r="911" spans="11:11" x14ac:dyDescent="0.45">
      <c r="K911">
        <v>42285.877759575284</v>
      </c>
    </row>
    <row r="912" spans="11:11" x14ac:dyDescent="0.45">
      <c r="K912">
        <v>22790.45522950383</v>
      </c>
    </row>
    <row r="913" spans="11:11" x14ac:dyDescent="0.45">
      <c r="K913">
        <v>27595.522168767213</v>
      </c>
    </row>
    <row r="914" spans="11:11" x14ac:dyDescent="0.45">
      <c r="K914">
        <v>40370.79014126103</v>
      </c>
    </row>
    <row r="915" spans="11:11" x14ac:dyDescent="0.45">
      <c r="K915">
        <v>32817.985695938609</v>
      </c>
    </row>
    <row r="916" spans="11:11" x14ac:dyDescent="0.45">
      <c r="K916">
        <v>31725.720515325749</v>
      </c>
    </row>
    <row r="917" spans="11:11" x14ac:dyDescent="0.45">
      <c r="K917">
        <v>35731.700486672024</v>
      </c>
    </row>
    <row r="918" spans="11:11" x14ac:dyDescent="0.45">
      <c r="K918">
        <v>35168.101752334711</v>
      </c>
    </row>
    <row r="919" spans="11:11" x14ac:dyDescent="0.45">
      <c r="K919">
        <v>31979.70605201396</v>
      </c>
    </row>
    <row r="920" spans="11:11" x14ac:dyDescent="0.45">
      <c r="K920">
        <v>16272.258153172197</v>
      </c>
    </row>
    <row r="921" spans="11:11" x14ac:dyDescent="0.45">
      <c r="K921">
        <v>35612.303423322715</v>
      </c>
    </row>
    <row r="922" spans="11:11" x14ac:dyDescent="0.45">
      <c r="K922">
        <v>40315.773800138617</v>
      </c>
    </row>
    <row r="923" spans="11:11" x14ac:dyDescent="0.45">
      <c r="K923">
        <v>42145.339595551442</v>
      </c>
    </row>
    <row r="924" spans="11:11" x14ac:dyDescent="0.45">
      <c r="K924">
        <v>37750.185003581559</v>
      </c>
    </row>
    <row r="925" spans="11:11" x14ac:dyDescent="0.45">
      <c r="K925">
        <v>30943.605054001782</v>
      </c>
    </row>
    <row r="926" spans="11:11" x14ac:dyDescent="0.45">
      <c r="K926">
        <v>19737.081696651483</v>
      </c>
    </row>
    <row r="927" spans="11:11" x14ac:dyDescent="0.45">
      <c r="K927">
        <v>45647.675486240812</v>
      </c>
    </row>
    <row r="928" spans="11:11" x14ac:dyDescent="0.45">
      <c r="K928">
        <v>36120.470740710174</v>
      </c>
    </row>
    <row r="929" spans="11:11" x14ac:dyDescent="0.45">
      <c r="K929">
        <v>52576.658152886703</v>
      </c>
    </row>
    <row r="930" spans="11:11" x14ac:dyDescent="0.45">
      <c r="K930">
        <v>36565.902771507783</v>
      </c>
    </row>
    <row r="931" spans="11:11" x14ac:dyDescent="0.45">
      <c r="K931">
        <v>37557.998024084984</v>
      </c>
    </row>
    <row r="932" spans="11:11" x14ac:dyDescent="0.45">
      <c r="K932">
        <v>34857.270307173363</v>
      </c>
    </row>
    <row r="933" spans="11:11" x14ac:dyDescent="0.45">
      <c r="K933">
        <v>41084.879825678261</v>
      </c>
    </row>
    <row r="934" spans="11:11" x14ac:dyDescent="0.45">
      <c r="K934">
        <v>35441.797857557714</v>
      </c>
    </row>
    <row r="935" spans="11:11" x14ac:dyDescent="0.45">
      <c r="K935">
        <v>36193.051966102168</v>
      </c>
    </row>
    <row r="936" spans="11:11" x14ac:dyDescent="0.45">
      <c r="K936">
        <v>35315.273901640961</v>
      </c>
    </row>
    <row r="937" spans="11:11" x14ac:dyDescent="0.45">
      <c r="K937">
        <v>41815.528666166312</v>
      </c>
    </row>
    <row r="938" spans="11:11" x14ac:dyDescent="0.45">
      <c r="K938">
        <v>22614.543548263824</v>
      </c>
    </row>
    <row r="939" spans="11:11" x14ac:dyDescent="0.45">
      <c r="K939">
        <v>27102.978803551738</v>
      </c>
    </row>
    <row r="940" spans="11:11" x14ac:dyDescent="0.45">
      <c r="K940">
        <v>23380.194886180463</v>
      </c>
    </row>
    <row r="941" spans="11:11" x14ac:dyDescent="0.45">
      <c r="K941">
        <v>31580.811559396599</v>
      </c>
    </row>
    <row r="942" spans="11:11" x14ac:dyDescent="0.45">
      <c r="K942">
        <v>21007.719489086419</v>
      </c>
    </row>
    <row r="943" spans="11:11" x14ac:dyDescent="0.45">
      <c r="K943">
        <v>31954.733746586589</v>
      </c>
    </row>
    <row r="944" spans="11:11" x14ac:dyDescent="0.45">
      <c r="K944">
        <v>20692.346432438793</v>
      </c>
    </row>
    <row r="945" spans="11:11" x14ac:dyDescent="0.45">
      <c r="K945">
        <v>15430.463800363588</v>
      </c>
    </row>
    <row r="946" spans="11:11" x14ac:dyDescent="0.45">
      <c r="K946">
        <v>36261.690974672238</v>
      </c>
    </row>
    <row r="947" spans="11:11" x14ac:dyDescent="0.45">
      <c r="K947">
        <v>21533.150453720165</v>
      </c>
    </row>
    <row r="948" spans="11:11" x14ac:dyDescent="0.45">
      <c r="K948">
        <v>36257.034751533618</v>
      </c>
    </row>
    <row r="949" spans="11:11" x14ac:dyDescent="0.45">
      <c r="K949">
        <v>29201.783543300378</v>
      </c>
    </row>
    <row r="950" spans="11:11" x14ac:dyDescent="0.45">
      <c r="K950">
        <v>22925.528030516252</v>
      </c>
    </row>
    <row r="951" spans="11:11" x14ac:dyDescent="0.45">
      <c r="K951">
        <v>7236.5088563106328</v>
      </c>
    </row>
    <row r="952" spans="11:11" x14ac:dyDescent="0.45">
      <c r="K952">
        <v>19267.414076661735</v>
      </c>
    </row>
    <row r="953" spans="11:11" x14ac:dyDescent="0.45">
      <c r="K953">
        <v>16814.877668805355</v>
      </c>
    </row>
    <row r="954" spans="11:11" x14ac:dyDescent="0.45">
      <c r="K954">
        <v>20794.937665141817</v>
      </c>
    </row>
    <row r="955" spans="11:11" x14ac:dyDescent="0.45">
      <c r="K955">
        <v>9965.7626787727968</v>
      </c>
    </row>
    <row r="956" spans="11:11" x14ac:dyDescent="0.45">
      <c r="K956">
        <v>9198.4893308236824</v>
      </c>
    </row>
    <row r="957" spans="11:11" x14ac:dyDescent="0.45">
      <c r="K957">
        <v>36329.303969162524</v>
      </c>
    </row>
    <row r="958" spans="11:11" x14ac:dyDescent="0.45">
      <c r="K958">
        <v>43100.230384080438</v>
      </c>
    </row>
    <row r="959" spans="11:11" x14ac:dyDescent="0.45">
      <c r="K959">
        <v>26512.143930150458</v>
      </c>
    </row>
    <row r="960" spans="11:11" x14ac:dyDescent="0.45">
      <c r="K960">
        <v>28174.412435199334</v>
      </c>
    </row>
    <row r="961" spans="11:11" x14ac:dyDescent="0.45">
      <c r="K961">
        <v>47333.432097433011</v>
      </c>
    </row>
    <row r="962" spans="11:11" x14ac:dyDescent="0.45">
      <c r="K962">
        <v>26652.304003392979</v>
      </c>
    </row>
    <row r="963" spans="11:11" x14ac:dyDescent="0.45">
      <c r="K963">
        <v>44343.282508183562</v>
      </c>
    </row>
    <row r="964" spans="11:11" x14ac:dyDescent="0.45">
      <c r="K964">
        <v>18389.0181115698</v>
      </c>
    </row>
    <row r="965" spans="11:11" x14ac:dyDescent="0.45">
      <c r="K965">
        <v>23965.501868156858</v>
      </c>
    </row>
    <row r="966" spans="11:11" x14ac:dyDescent="0.45">
      <c r="K966">
        <v>47527.694235087059</v>
      </c>
    </row>
    <row r="967" spans="11:11" x14ac:dyDescent="0.45">
      <c r="K967">
        <v>36933.062121889656</v>
      </c>
    </row>
    <row r="968" spans="11:11" x14ac:dyDescent="0.45">
      <c r="K968">
        <v>26748.155300435767</v>
      </c>
    </row>
    <row r="969" spans="11:11" x14ac:dyDescent="0.45">
      <c r="K969">
        <v>29146.172185303232</v>
      </c>
    </row>
    <row r="970" spans="11:11" x14ac:dyDescent="0.45">
      <c r="K970">
        <v>38500.239283335999</v>
      </c>
    </row>
    <row r="971" spans="11:11" x14ac:dyDescent="0.45">
      <c r="K971">
        <v>28229.567869732342</v>
      </c>
    </row>
    <row r="972" spans="11:11" x14ac:dyDescent="0.45">
      <c r="K972">
        <v>34108.214075461714</v>
      </c>
    </row>
    <row r="973" spans="11:11" x14ac:dyDescent="0.45">
      <c r="K973">
        <v>47672.795934304573</v>
      </c>
    </row>
    <row r="974" spans="11:11" x14ac:dyDescent="0.45">
      <c r="K974">
        <v>36276.984751753771</v>
      </c>
    </row>
    <row r="975" spans="11:11" x14ac:dyDescent="0.45">
      <c r="K975">
        <v>28205.380453929611</v>
      </c>
    </row>
    <row r="976" spans="11:11" x14ac:dyDescent="0.45">
      <c r="K976">
        <v>35758.7181528539</v>
      </c>
    </row>
    <row r="977" spans="11:11" x14ac:dyDescent="0.45">
      <c r="K977">
        <v>40595.171702288542</v>
      </c>
    </row>
    <row r="978" spans="11:11" x14ac:dyDescent="0.45">
      <c r="K978">
        <v>35339.403336926203</v>
      </c>
    </row>
    <row r="979" spans="11:11" x14ac:dyDescent="0.45">
      <c r="K979">
        <v>26112.067412588818</v>
      </c>
    </row>
    <row r="980" spans="11:11" x14ac:dyDescent="0.45">
      <c r="K980">
        <v>19099.28637246837</v>
      </c>
    </row>
    <row r="981" spans="11:11" x14ac:dyDescent="0.45">
      <c r="K981">
        <v>35992.820071435912</v>
      </c>
    </row>
    <row r="982" spans="11:11" x14ac:dyDescent="0.45">
      <c r="K982">
        <v>35523.581876473676</v>
      </c>
    </row>
    <row r="983" spans="11:11" x14ac:dyDescent="0.45">
      <c r="K983">
        <v>25109.576134785515</v>
      </c>
    </row>
    <row r="984" spans="11:11" x14ac:dyDescent="0.45">
      <c r="K984">
        <v>30564.241146719083</v>
      </c>
    </row>
    <row r="985" spans="11:11" x14ac:dyDescent="0.45">
      <c r="K985">
        <v>49598.225901029553</v>
      </c>
    </row>
    <row r="986" spans="11:11" x14ac:dyDescent="0.45">
      <c r="K986">
        <v>27716.503798319238</v>
      </c>
    </row>
    <row r="987" spans="11:11" x14ac:dyDescent="0.45">
      <c r="K987">
        <v>25756.217192717952</v>
      </c>
    </row>
    <row r="988" spans="11:11" x14ac:dyDescent="0.45">
      <c r="K988">
        <v>41464.389785246138</v>
      </c>
    </row>
    <row r="989" spans="11:11" x14ac:dyDescent="0.45">
      <c r="K989">
        <v>45517.592835400952</v>
      </c>
    </row>
    <row r="990" spans="11:11" x14ac:dyDescent="0.45">
      <c r="K990">
        <v>45470.380376719644</v>
      </c>
    </row>
    <row r="991" spans="11:11" x14ac:dyDescent="0.45">
      <c r="K991">
        <v>40216.484803924504</v>
      </c>
    </row>
    <row r="992" spans="11:11" x14ac:dyDescent="0.45">
      <c r="K992">
        <v>49765.988147560267</v>
      </c>
    </row>
    <row r="993" spans="11:11" x14ac:dyDescent="0.45">
      <c r="K993">
        <v>25859.149459816788</v>
      </c>
    </row>
    <row r="994" spans="11:11" x14ac:dyDescent="0.45">
      <c r="K994">
        <v>35863.078794367633</v>
      </c>
    </row>
    <row r="995" spans="11:11" x14ac:dyDescent="0.45">
      <c r="K995">
        <v>24366.409683323614</v>
      </c>
    </row>
    <row r="996" spans="11:11" x14ac:dyDescent="0.45">
      <c r="K996">
        <v>19909.578133591447</v>
      </c>
    </row>
    <row r="997" spans="11:11" x14ac:dyDescent="0.45">
      <c r="K997">
        <v>27546.972190291544</v>
      </c>
    </row>
    <row r="998" spans="11:11" x14ac:dyDescent="0.45">
      <c r="K998">
        <v>33394.744636105366</v>
      </c>
    </row>
    <row r="999" spans="11:11" x14ac:dyDescent="0.45">
      <c r="K999">
        <v>34603.436279132628</v>
      </c>
    </row>
    <row r="1000" spans="11:11" x14ac:dyDescent="0.45">
      <c r="K1000">
        <v>17714.501056359917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7550-A480-4227-99AF-F1412E889B04}">
  <sheetPr codeName="Sheet8"/>
  <dimension ref="A1:Q1000"/>
  <sheetViews>
    <sheetView workbookViewId="0">
      <selection activeCell="C4" sqref="C4"/>
    </sheetView>
  </sheetViews>
  <sheetFormatPr baseColWidth="10" defaultColWidth="9.06640625" defaultRowHeight="14.25" x14ac:dyDescent="0.45"/>
  <cols>
    <col min="1" max="1" width="23.73046875" style="1" bestFit="1" customWidth="1"/>
    <col min="2" max="2" width="15.86328125" bestFit="1" customWidth="1"/>
    <col min="3" max="3" width="13.1328125" bestFit="1" customWidth="1"/>
    <col min="11" max="11" width="13.1328125" bestFit="1" customWidth="1"/>
    <col min="12" max="12" width="13.1328125" customWidth="1"/>
  </cols>
  <sheetData>
    <row r="1" spans="1:17" x14ac:dyDescent="0.45">
      <c r="K1">
        <v>13580.204438259736</v>
      </c>
      <c r="M1" s="1">
        <f>AVERAGE(K1:K10000)</f>
        <v>16723.550525619637</v>
      </c>
    </row>
    <row r="2" spans="1:17" x14ac:dyDescent="0.45">
      <c r="C2" t="s">
        <v>0</v>
      </c>
      <c r="D2" t="s">
        <v>1</v>
      </c>
      <c r="K2">
        <v>23100.424571398278</v>
      </c>
      <c r="M2" s="1">
        <f>_xlfn.STDEV.S(K1:K10000)</f>
        <v>8075.4581555114246</v>
      </c>
    </row>
    <row r="3" spans="1:17" x14ac:dyDescent="0.45">
      <c r="B3" t="s">
        <v>8</v>
      </c>
      <c r="C3" s="1">
        <v>16269</v>
      </c>
      <c r="D3" s="1">
        <v>8378</v>
      </c>
      <c r="H3">
        <v>10301.535158844999</v>
      </c>
      <c r="K3">
        <v>9702.491832816384</v>
      </c>
      <c r="O3" s="3"/>
      <c r="P3" s="4"/>
      <c r="Q3" s="5"/>
    </row>
    <row r="4" spans="1:17" x14ac:dyDescent="0.45">
      <c r="C4">
        <f>LOG10(C3)</f>
        <v>4.2113608591551177</v>
      </c>
      <c r="D4">
        <f>LOG10(D3)</f>
        <v>3.9231403560252005</v>
      </c>
      <c r="H4">
        <v>12263.924251423747</v>
      </c>
      <c r="K4">
        <v>26444.522339985153</v>
      </c>
      <c r="O4" s="6"/>
      <c r="P4" s="7"/>
      <c r="Q4" s="8"/>
    </row>
    <row r="5" spans="1:17" x14ac:dyDescent="0.45">
      <c r="B5" t="s">
        <v>2</v>
      </c>
      <c r="C5" s="1">
        <f ca="1">_xlfn.NORM.INV(RAND(),$C$3,$D$3)</f>
        <v>12173.780501752883</v>
      </c>
      <c r="K5">
        <v>10583.049473001342</v>
      </c>
      <c r="O5" s="6"/>
      <c r="P5" s="7"/>
      <c r="Q5" s="8"/>
    </row>
    <row r="6" spans="1:17" x14ac:dyDescent="0.45">
      <c r="K6">
        <v>18582.174246189181</v>
      </c>
      <c r="O6" s="6"/>
      <c r="P6" s="7"/>
      <c r="Q6" s="8"/>
    </row>
    <row r="7" spans="1:17" x14ac:dyDescent="0.45">
      <c r="E7" s="1">
        <f ca="1">_xlfn.NORM.INV(RAND(),$C$3,$D$3)</f>
        <v>619.54880779076848</v>
      </c>
      <c r="F7" s="1">
        <f t="shared" ref="F7:I7" ca="1" si="0">_xlfn.NORM.INV(RAND(),$C$3,$D$3)</f>
        <v>7499.3052680913097</v>
      </c>
      <c r="G7" s="1">
        <f t="shared" ca="1" si="0"/>
        <v>12560.98175270199</v>
      </c>
      <c r="H7" s="1">
        <f t="shared" ca="1" si="0"/>
        <v>23495.973226763468</v>
      </c>
      <c r="I7" s="1">
        <f t="shared" ca="1" si="0"/>
        <v>27883.767121057896</v>
      </c>
      <c r="K7">
        <v>19505.590598577412</v>
      </c>
      <c r="O7" s="6"/>
      <c r="P7" s="7"/>
      <c r="Q7" s="8"/>
    </row>
    <row r="8" spans="1:17" x14ac:dyDescent="0.45">
      <c r="B8" t="s">
        <v>3</v>
      </c>
      <c r="C8">
        <v>1000</v>
      </c>
      <c r="K8">
        <v>30756.003104473071</v>
      </c>
      <c r="O8" s="6"/>
      <c r="P8" s="7"/>
      <c r="Q8" s="8"/>
    </row>
    <row r="9" spans="1:17" x14ac:dyDescent="0.45">
      <c r="B9" t="s">
        <v>4</v>
      </c>
      <c r="C9">
        <v>1000</v>
      </c>
      <c r="K9">
        <v>5323.1233720649889</v>
      </c>
      <c r="O9" s="6"/>
      <c r="P9" s="7"/>
      <c r="Q9" s="8"/>
    </row>
    <row r="10" spans="1:17" x14ac:dyDescent="0.45">
      <c r="B10" t="s">
        <v>6</v>
      </c>
      <c r="C10" s="1">
        <f>MAX(K:K)</f>
        <v>40702.174613283816</v>
      </c>
      <c r="K10">
        <v>17164.657402908848</v>
      </c>
      <c r="O10" s="6"/>
      <c r="P10" s="7"/>
      <c r="Q10" s="8"/>
    </row>
    <row r="11" spans="1:17" x14ac:dyDescent="0.45">
      <c r="B11" t="s">
        <v>5</v>
      </c>
      <c r="C11" s="1">
        <f>MIN(K:K)</f>
        <v>0</v>
      </c>
      <c r="E11" s="1">
        <f>ROUNDDOWN((C10-C11)/100,0)</f>
        <v>407</v>
      </c>
      <c r="K11">
        <v>20066.167197793984</v>
      </c>
      <c r="O11" s="6"/>
      <c r="P11" s="7"/>
      <c r="Q11" s="8"/>
    </row>
    <row r="12" spans="1:17" x14ac:dyDescent="0.45">
      <c r="K12">
        <v>12233.176931559919</v>
      </c>
      <c r="O12" s="6"/>
      <c r="P12" s="7"/>
      <c r="Q12" s="8"/>
    </row>
    <row r="13" spans="1:17" x14ac:dyDescent="0.45">
      <c r="A13" s="1">
        <f>ROUNDDOWN(C11,0)</f>
        <v>0</v>
      </c>
      <c r="B13">
        <f>COUNTIFS($K$1:$K$1000,"&gt;="&amp; A13,$K$1:$K$1000,"&lt;="&amp; A14)</f>
        <v>29</v>
      </c>
      <c r="C13" s="2"/>
      <c r="K13">
        <v>27020.443275695878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814.04349226567638</v>
      </c>
      <c r="B14">
        <f t="shared" ref="B14:B61" si="1">COUNTIFS($K$1:$K$1000,"&gt;="&amp; A14,$K$1:$K$1000,"&lt;="&amp; A15)</f>
        <v>7</v>
      </c>
      <c r="C14" s="2"/>
      <c r="K14">
        <v>11575.7137683734</v>
      </c>
      <c r="O14" s="6"/>
      <c r="P14" s="7"/>
      <c r="Q14" s="8"/>
    </row>
    <row r="15" spans="1:17" x14ac:dyDescent="0.45">
      <c r="A15" s="1">
        <f t="shared" ref="A15:A61" si="2">IF(A14+($C$10-$C$11)/50&lt;=$C$10,A14+($C$10-$C$11)/50,MAX(A14+($C$10-$C$11)/50,$C$10))</f>
        <v>1628.0869845313528</v>
      </c>
      <c r="B15">
        <f t="shared" si="1"/>
        <v>10</v>
      </c>
      <c r="C15" s="2"/>
      <c r="K15">
        <v>26731.678877142549</v>
      </c>
      <c r="O15" s="6"/>
      <c r="P15" s="7"/>
      <c r="Q15" s="8"/>
    </row>
    <row r="16" spans="1:17" x14ac:dyDescent="0.45">
      <c r="A16" s="1">
        <f t="shared" si="2"/>
        <v>2442.1304767970291</v>
      </c>
      <c r="B16">
        <f t="shared" si="1"/>
        <v>9</v>
      </c>
      <c r="C16" s="2"/>
      <c r="K16">
        <v>19533.833161935974</v>
      </c>
      <c r="O16" s="6"/>
      <c r="P16" s="7"/>
      <c r="Q16" s="8"/>
    </row>
    <row r="17" spans="1:17" x14ac:dyDescent="0.45">
      <c r="A17" s="1">
        <f t="shared" si="2"/>
        <v>3256.1739690627055</v>
      </c>
      <c r="B17">
        <f t="shared" si="1"/>
        <v>10</v>
      </c>
      <c r="C17" s="2"/>
      <c r="K17">
        <v>23554.984917392045</v>
      </c>
      <c r="O17" s="6"/>
      <c r="P17" s="7"/>
      <c r="Q17" s="8"/>
    </row>
    <row r="18" spans="1:17" x14ac:dyDescent="0.45">
      <c r="A18" s="1">
        <f t="shared" si="2"/>
        <v>4070.2174613283819</v>
      </c>
      <c r="B18">
        <f t="shared" si="1"/>
        <v>16</v>
      </c>
      <c r="C18" s="2"/>
      <c r="K18">
        <v>16429.743616036805</v>
      </c>
      <c r="O18" s="6"/>
      <c r="P18" s="7"/>
      <c r="Q18" s="8"/>
    </row>
    <row r="19" spans="1:17" x14ac:dyDescent="0.45">
      <c r="A19" s="1">
        <f t="shared" si="2"/>
        <v>4884.2609535940583</v>
      </c>
      <c r="B19">
        <f t="shared" si="1"/>
        <v>18</v>
      </c>
      <c r="C19" s="2"/>
      <c r="K19">
        <v>14768.15498990641</v>
      </c>
      <c r="O19" s="6"/>
      <c r="P19" s="7"/>
      <c r="Q19" s="8"/>
    </row>
    <row r="20" spans="1:17" x14ac:dyDescent="0.45">
      <c r="A20" s="1">
        <f t="shared" si="2"/>
        <v>5698.3044458597342</v>
      </c>
      <c r="B20">
        <f t="shared" si="1"/>
        <v>13</v>
      </c>
      <c r="C20" s="2"/>
      <c r="K20">
        <v>24654.67196774976</v>
      </c>
      <c r="O20" s="9"/>
      <c r="P20" s="10"/>
      <c r="Q20" s="11"/>
    </row>
    <row r="21" spans="1:17" x14ac:dyDescent="0.45">
      <c r="A21" s="1">
        <f t="shared" si="2"/>
        <v>6512.347938125411</v>
      </c>
      <c r="B21">
        <f t="shared" si="1"/>
        <v>18</v>
      </c>
      <c r="C21" s="2"/>
      <c r="K21">
        <v>11235.515000993841</v>
      </c>
    </row>
    <row r="22" spans="1:17" x14ac:dyDescent="0.45">
      <c r="A22" s="1">
        <f t="shared" si="2"/>
        <v>7326.3914303910879</v>
      </c>
      <c r="B22">
        <f t="shared" si="1"/>
        <v>20</v>
      </c>
      <c r="C22" s="2"/>
      <c r="K22">
        <v>9080.2067266489921</v>
      </c>
    </row>
    <row r="23" spans="1:17" x14ac:dyDescent="0.45">
      <c r="A23" s="1">
        <f t="shared" si="2"/>
        <v>8140.4349226567647</v>
      </c>
      <c r="B23">
        <f t="shared" si="1"/>
        <v>27</v>
      </c>
      <c r="C23" s="2"/>
      <c r="K23">
        <v>3239.2693543440655</v>
      </c>
    </row>
    <row r="24" spans="1:17" x14ac:dyDescent="0.45">
      <c r="A24" s="1">
        <f t="shared" si="2"/>
        <v>8954.4784149224415</v>
      </c>
      <c r="B24">
        <f t="shared" si="1"/>
        <v>28</v>
      </c>
      <c r="C24" s="2"/>
      <c r="K24">
        <v>16359.868669552437</v>
      </c>
    </row>
    <row r="25" spans="1:17" x14ac:dyDescent="0.45">
      <c r="A25" s="1">
        <f t="shared" si="2"/>
        <v>9768.5219071881183</v>
      </c>
      <c r="B25">
        <f t="shared" si="1"/>
        <v>25</v>
      </c>
      <c r="C25" s="2"/>
      <c r="K25">
        <v>13868.471530007746</v>
      </c>
    </row>
    <row r="26" spans="1:17" x14ac:dyDescent="0.45">
      <c r="A26" s="1">
        <f t="shared" si="2"/>
        <v>10582.565399453795</v>
      </c>
      <c r="B26">
        <f t="shared" si="1"/>
        <v>34</v>
      </c>
      <c r="C26" s="2"/>
      <c r="K26">
        <v>0</v>
      </c>
    </row>
    <row r="27" spans="1:17" x14ac:dyDescent="0.45">
      <c r="A27" s="1">
        <f t="shared" si="2"/>
        <v>11396.608891719472</v>
      </c>
      <c r="B27">
        <f t="shared" si="1"/>
        <v>33</v>
      </c>
      <c r="C27" s="2"/>
      <c r="K27">
        <v>20475.959397265749</v>
      </c>
    </row>
    <row r="28" spans="1:17" x14ac:dyDescent="0.45">
      <c r="A28" s="1">
        <f t="shared" si="2"/>
        <v>12210.652383985149</v>
      </c>
      <c r="B28">
        <f t="shared" si="1"/>
        <v>30</v>
      </c>
      <c r="C28" s="2"/>
      <c r="K28">
        <v>24260.340496934114</v>
      </c>
    </row>
    <row r="29" spans="1:17" x14ac:dyDescent="0.45">
      <c r="A29" s="1">
        <f t="shared" si="2"/>
        <v>13024.695876250826</v>
      </c>
      <c r="B29">
        <f t="shared" si="1"/>
        <v>29</v>
      </c>
      <c r="C29" s="2"/>
      <c r="K29">
        <v>20086.944911435603</v>
      </c>
    </row>
    <row r="30" spans="1:17" x14ac:dyDescent="0.45">
      <c r="A30" s="1">
        <f t="shared" si="2"/>
        <v>13838.739368516503</v>
      </c>
      <c r="B30">
        <f t="shared" si="1"/>
        <v>36</v>
      </c>
      <c r="C30" s="2"/>
      <c r="K30">
        <v>6887.8247975754875</v>
      </c>
    </row>
    <row r="31" spans="1:17" x14ac:dyDescent="0.45">
      <c r="A31" s="1">
        <f t="shared" si="2"/>
        <v>14652.782860782179</v>
      </c>
      <c r="B31">
        <f t="shared" si="1"/>
        <v>39</v>
      </c>
      <c r="C31" s="2"/>
      <c r="K31">
        <v>14214.835917151184</v>
      </c>
    </row>
    <row r="32" spans="1:17" x14ac:dyDescent="0.45">
      <c r="A32" s="1">
        <f t="shared" si="2"/>
        <v>15466.826353047856</v>
      </c>
      <c r="B32">
        <f t="shared" si="1"/>
        <v>48</v>
      </c>
      <c r="C32" s="2"/>
      <c r="K32">
        <v>4209.1386306431687</v>
      </c>
    </row>
    <row r="33" spans="1:11" x14ac:dyDescent="0.45">
      <c r="A33" s="1">
        <f t="shared" si="2"/>
        <v>16280.869845313533</v>
      </c>
      <c r="B33">
        <f t="shared" si="1"/>
        <v>43</v>
      </c>
      <c r="C33" s="2"/>
      <c r="K33">
        <v>22578.434199966567</v>
      </c>
    </row>
    <row r="34" spans="1:11" x14ac:dyDescent="0.45">
      <c r="A34" s="1">
        <f t="shared" si="2"/>
        <v>17094.913337579208</v>
      </c>
      <c r="B34">
        <f t="shared" si="1"/>
        <v>36</v>
      </c>
      <c r="C34" s="2"/>
      <c r="K34">
        <v>18586.525057681523</v>
      </c>
    </row>
    <row r="35" spans="1:11" x14ac:dyDescent="0.45">
      <c r="A35" s="1">
        <f t="shared" si="2"/>
        <v>17908.956829844883</v>
      </c>
      <c r="B35">
        <f t="shared" si="1"/>
        <v>38</v>
      </c>
      <c r="C35" s="2"/>
      <c r="K35">
        <v>12581.144917207137</v>
      </c>
    </row>
    <row r="36" spans="1:11" x14ac:dyDescent="0.45">
      <c r="A36" s="1">
        <f t="shared" si="2"/>
        <v>18723.000322110558</v>
      </c>
      <c r="B36">
        <f t="shared" si="1"/>
        <v>41</v>
      </c>
      <c r="C36" s="2"/>
      <c r="K36">
        <v>16128.563885676207</v>
      </c>
    </row>
    <row r="37" spans="1:11" x14ac:dyDescent="0.45">
      <c r="A37" s="1">
        <f t="shared" si="2"/>
        <v>19537.043814376233</v>
      </c>
      <c r="B37">
        <f t="shared" si="1"/>
        <v>37</v>
      </c>
      <c r="C37" s="2"/>
      <c r="K37">
        <v>18869.826605152717</v>
      </c>
    </row>
    <row r="38" spans="1:11" x14ac:dyDescent="0.45">
      <c r="A38" s="1">
        <f t="shared" si="2"/>
        <v>20351.087306641908</v>
      </c>
      <c r="B38">
        <f t="shared" si="1"/>
        <v>33</v>
      </c>
      <c r="C38" s="2"/>
      <c r="K38">
        <v>19279.390157146496</v>
      </c>
    </row>
    <row r="39" spans="1:11" x14ac:dyDescent="0.45">
      <c r="A39" s="1">
        <f t="shared" si="2"/>
        <v>21165.130798907583</v>
      </c>
      <c r="B39">
        <f t="shared" si="1"/>
        <v>32</v>
      </c>
      <c r="C39" s="2"/>
      <c r="K39">
        <v>35111.80090245622</v>
      </c>
    </row>
    <row r="40" spans="1:11" x14ac:dyDescent="0.45">
      <c r="A40" s="1">
        <f t="shared" si="2"/>
        <v>21979.174291173258</v>
      </c>
      <c r="B40">
        <f t="shared" si="1"/>
        <v>32</v>
      </c>
      <c r="C40" s="2"/>
      <c r="K40">
        <v>0</v>
      </c>
    </row>
    <row r="41" spans="1:11" x14ac:dyDescent="0.45">
      <c r="A41" s="1">
        <f t="shared" si="2"/>
        <v>22793.217783438933</v>
      </c>
      <c r="B41">
        <f t="shared" si="1"/>
        <v>25</v>
      </c>
      <c r="C41" s="2"/>
      <c r="K41">
        <v>15569.187716239492</v>
      </c>
    </row>
    <row r="42" spans="1:11" x14ac:dyDescent="0.45">
      <c r="A42" s="1">
        <f t="shared" si="2"/>
        <v>23607.261275704608</v>
      </c>
      <c r="B42">
        <f t="shared" si="1"/>
        <v>29</v>
      </c>
      <c r="C42" s="2"/>
      <c r="K42">
        <v>15815.680067297604</v>
      </c>
    </row>
    <row r="43" spans="1:11" x14ac:dyDescent="0.45">
      <c r="A43" s="1">
        <f t="shared" si="2"/>
        <v>24421.304767970283</v>
      </c>
      <c r="B43">
        <f t="shared" si="1"/>
        <v>25</v>
      </c>
      <c r="C43" s="2"/>
      <c r="K43">
        <v>25678.354229694676</v>
      </c>
    </row>
    <row r="44" spans="1:11" x14ac:dyDescent="0.45">
      <c r="A44" s="1">
        <f t="shared" si="2"/>
        <v>25235.348260235958</v>
      </c>
      <c r="B44">
        <f t="shared" si="1"/>
        <v>29</v>
      </c>
      <c r="C44" s="2"/>
      <c r="K44">
        <v>23894.515722523822</v>
      </c>
    </row>
    <row r="45" spans="1:11" x14ac:dyDescent="0.45">
      <c r="A45" s="1">
        <f t="shared" si="2"/>
        <v>26049.391752501633</v>
      </c>
      <c r="B45">
        <f t="shared" si="1"/>
        <v>14</v>
      </c>
      <c r="C45" s="2"/>
      <c r="K45">
        <v>15983.578916759468</v>
      </c>
    </row>
    <row r="46" spans="1:11" x14ac:dyDescent="0.45">
      <c r="A46" s="1">
        <f t="shared" si="2"/>
        <v>26863.435244767308</v>
      </c>
      <c r="B46">
        <f t="shared" si="1"/>
        <v>18</v>
      </c>
      <c r="C46" s="2"/>
      <c r="K46">
        <v>2655.7487352593762</v>
      </c>
    </row>
    <row r="47" spans="1:11" x14ac:dyDescent="0.45">
      <c r="A47" s="1">
        <f t="shared" si="2"/>
        <v>27677.478737032983</v>
      </c>
      <c r="B47">
        <f t="shared" si="1"/>
        <v>14</v>
      </c>
      <c r="C47" s="2"/>
      <c r="K47">
        <v>23931.200010478202</v>
      </c>
    </row>
    <row r="48" spans="1:11" x14ac:dyDescent="0.45">
      <c r="A48" s="1">
        <f t="shared" si="2"/>
        <v>28491.522229298658</v>
      </c>
      <c r="B48">
        <f t="shared" si="1"/>
        <v>7</v>
      </c>
      <c r="C48" s="2"/>
      <c r="K48">
        <v>20729.602796787978</v>
      </c>
    </row>
    <row r="49" spans="1:11" x14ac:dyDescent="0.45">
      <c r="A49" s="1">
        <f t="shared" si="2"/>
        <v>29305.565721564333</v>
      </c>
      <c r="B49">
        <f t="shared" si="1"/>
        <v>10</v>
      </c>
      <c r="C49" s="2"/>
      <c r="K49">
        <v>16378.101892192493</v>
      </c>
    </row>
    <row r="50" spans="1:11" x14ac:dyDescent="0.45">
      <c r="A50" s="1">
        <f t="shared" si="2"/>
        <v>30119.609213830008</v>
      </c>
      <c r="B50">
        <f t="shared" si="1"/>
        <v>9</v>
      </c>
      <c r="C50" s="2"/>
      <c r="K50">
        <v>16853.932027305771</v>
      </c>
    </row>
    <row r="51" spans="1:11" x14ac:dyDescent="0.45">
      <c r="A51" s="1">
        <f t="shared" si="2"/>
        <v>30933.652706095683</v>
      </c>
      <c r="B51">
        <f t="shared" si="1"/>
        <v>15</v>
      </c>
      <c r="C51" s="2"/>
      <c r="K51">
        <v>17854.055502420713</v>
      </c>
    </row>
    <row r="52" spans="1:11" x14ac:dyDescent="0.45">
      <c r="A52" s="1">
        <f t="shared" si="2"/>
        <v>31747.696198361358</v>
      </c>
      <c r="B52">
        <f t="shared" si="1"/>
        <v>9</v>
      </c>
      <c r="C52" s="2"/>
      <c r="K52">
        <v>26879.79916646373</v>
      </c>
    </row>
    <row r="53" spans="1:11" x14ac:dyDescent="0.45">
      <c r="A53" s="1">
        <f t="shared" si="2"/>
        <v>32561.739690627033</v>
      </c>
      <c r="B53">
        <f t="shared" si="1"/>
        <v>7</v>
      </c>
      <c r="C53" s="2"/>
      <c r="K53">
        <v>3904.4622400089393</v>
      </c>
    </row>
    <row r="54" spans="1:11" x14ac:dyDescent="0.45">
      <c r="A54" s="1">
        <f t="shared" si="2"/>
        <v>33375.783182892708</v>
      </c>
      <c r="B54">
        <f t="shared" si="1"/>
        <v>4</v>
      </c>
      <c r="C54" s="2"/>
      <c r="K54">
        <v>8537.3389457422309</v>
      </c>
    </row>
    <row r="55" spans="1:11" x14ac:dyDescent="0.45">
      <c r="A55" s="1">
        <f t="shared" si="2"/>
        <v>34189.826675158387</v>
      </c>
      <c r="B55">
        <f t="shared" si="1"/>
        <v>1</v>
      </c>
      <c r="C55" s="2"/>
      <c r="K55">
        <v>0</v>
      </c>
    </row>
    <row r="56" spans="1:11" x14ac:dyDescent="0.45">
      <c r="A56" s="1">
        <f t="shared" si="2"/>
        <v>35003.870167424066</v>
      </c>
      <c r="B56">
        <f t="shared" si="1"/>
        <v>8</v>
      </c>
      <c r="C56" s="2"/>
      <c r="K56">
        <v>22693.329709899204</v>
      </c>
    </row>
    <row r="57" spans="1:11" x14ac:dyDescent="0.45">
      <c r="A57" s="1">
        <f t="shared" si="2"/>
        <v>35817.913659689744</v>
      </c>
      <c r="B57">
        <f t="shared" si="1"/>
        <v>3</v>
      </c>
      <c r="C57" s="2"/>
      <c r="K57">
        <v>24583.566952582427</v>
      </c>
    </row>
    <row r="58" spans="1:11" x14ac:dyDescent="0.45">
      <c r="A58" s="1">
        <f t="shared" si="2"/>
        <v>36631.957151955423</v>
      </c>
      <c r="B58">
        <f t="shared" si="1"/>
        <v>0</v>
      </c>
      <c r="C58" s="2"/>
      <c r="K58">
        <v>0</v>
      </c>
    </row>
    <row r="59" spans="1:11" x14ac:dyDescent="0.45">
      <c r="A59" s="1">
        <f t="shared" si="2"/>
        <v>37446.000644221102</v>
      </c>
      <c r="B59">
        <f t="shared" si="1"/>
        <v>0</v>
      </c>
      <c r="C59" s="2"/>
      <c r="K59">
        <v>28199.862545125507</v>
      </c>
    </row>
    <row r="60" spans="1:11" x14ac:dyDescent="0.45">
      <c r="A60" s="1">
        <f t="shared" si="2"/>
        <v>38260.04413648678</v>
      </c>
      <c r="B60">
        <f t="shared" si="1"/>
        <v>0</v>
      </c>
      <c r="C60" s="2"/>
      <c r="K60">
        <v>8616.3257571803097</v>
      </c>
    </row>
    <row r="61" spans="1:11" x14ac:dyDescent="0.45">
      <c r="A61" s="1">
        <f t="shared" si="2"/>
        <v>39074.087628752459</v>
      </c>
      <c r="B61">
        <f t="shared" si="1"/>
        <v>0</v>
      </c>
      <c r="C61" s="2"/>
      <c r="K61">
        <v>10578.616932228644</v>
      </c>
    </row>
    <row r="62" spans="1:11" x14ac:dyDescent="0.45">
      <c r="A62" s="1">
        <f>IF(A61+($C$10-$C$11)/50&lt;=$C$10,A61+($C$10-$C$11)/50,MAX(A61+($C$10-$C$11)/50,$C$10))</f>
        <v>39888.131121018137</v>
      </c>
      <c r="B62">
        <f>COUNTIFS($K$1:$K$1000,"&gt;="&amp; A62)</f>
        <v>2</v>
      </c>
      <c r="C62" s="2"/>
      <c r="K62">
        <v>8322.5578571033238</v>
      </c>
    </row>
    <row r="63" spans="1:11" x14ac:dyDescent="0.45">
      <c r="C63" s="2"/>
      <c r="K63">
        <v>20762.865988322748</v>
      </c>
    </row>
    <row r="64" spans="1:11" x14ac:dyDescent="0.45">
      <c r="C64" s="2"/>
      <c r="K64">
        <v>21332.36466244359</v>
      </c>
    </row>
    <row r="65" spans="3:11" x14ac:dyDescent="0.45">
      <c r="C65" s="2"/>
      <c r="K65">
        <v>8305.4470312038029</v>
      </c>
    </row>
    <row r="66" spans="3:11" x14ac:dyDescent="0.45">
      <c r="C66" s="2"/>
      <c r="K66">
        <v>33320.095056952232</v>
      </c>
    </row>
    <row r="67" spans="3:11" x14ac:dyDescent="0.45">
      <c r="C67" s="2"/>
      <c r="K67">
        <v>8094.8052834345162</v>
      </c>
    </row>
    <row r="68" spans="3:11" x14ac:dyDescent="0.45">
      <c r="C68" s="2"/>
      <c r="K68">
        <v>529.89455617982276</v>
      </c>
    </row>
    <row r="69" spans="3:11" x14ac:dyDescent="0.45">
      <c r="C69" s="2"/>
      <c r="K69">
        <v>23526.80306997351</v>
      </c>
    </row>
    <row r="70" spans="3:11" x14ac:dyDescent="0.45">
      <c r="C70" s="2"/>
      <c r="K70">
        <v>18173.13168616495</v>
      </c>
    </row>
    <row r="71" spans="3:11" x14ac:dyDescent="0.45">
      <c r="C71" s="2"/>
      <c r="K71">
        <v>25261.510712600801</v>
      </c>
    </row>
    <row r="72" spans="3:11" x14ac:dyDescent="0.45">
      <c r="C72" s="2"/>
      <c r="K72">
        <v>15324.818733620912</v>
      </c>
    </row>
    <row r="73" spans="3:11" x14ac:dyDescent="0.45">
      <c r="C73" s="2"/>
      <c r="K73">
        <v>18472.559082473359</v>
      </c>
    </row>
    <row r="74" spans="3:11" x14ac:dyDescent="0.45">
      <c r="C74" s="2"/>
      <c r="K74">
        <v>11673.672947655858</v>
      </c>
    </row>
    <row r="75" spans="3:11" x14ac:dyDescent="0.45">
      <c r="C75" s="2"/>
      <c r="K75">
        <v>19147.727675334343</v>
      </c>
    </row>
    <row r="76" spans="3:11" x14ac:dyDescent="0.45">
      <c r="C76" s="2"/>
      <c r="K76">
        <v>17603.326282808601</v>
      </c>
    </row>
    <row r="77" spans="3:11" x14ac:dyDescent="0.45">
      <c r="C77" s="2"/>
      <c r="K77">
        <v>18113.555426293489</v>
      </c>
    </row>
    <row r="78" spans="3:11" x14ac:dyDescent="0.45">
      <c r="C78" s="2"/>
      <c r="K78">
        <v>11878.659812478716</v>
      </c>
    </row>
    <row r="79" spans="3:11" x14ac:dyDescent="0.45">
      <c r="C79" s="2"/>
      <c r="K79">
        <v>16556.795280004881</v>
      </c>
    </row>
    <row r="80" spans="3:11" x14ac:dyDescent="0.45">
      <c r="C80" s="2"/>
      <c r="K80">
        <v>21114.915507709855</v>
      </c>
    </row>
    <row r="81" spans="3:11" x14ac:dyDescent="0.45">
      <c r="C81" s="2"/>
      <c r="K81">
        <v>2348.0504445517454</v>
      </c>
    </row>
    <row r="82" spans="3:11" x14ac:dyDescent="0.45">
      <c r="C82" s="2"/>
      <c r="K82">
        <v>7369.0967132779115</v>
      </c>
    </row>
    <row r="83" spans="3:11" x14ac:dyDescent="0.45">
      <c r="C83" s="2"/>
      <c r="K83">
        <v>10633.280104760128</v>
      </c>
    </row>
    <row r="84" spans="3:11" x14ac:dyDescent="0.45">
      <c r="K84">
        <v>15721.872654600285</v>
      </c>
    </row>
    <row r="85" spans="3:11" x14ac:dyDescent="0.45">
      <c r="K85">
        <v>11379.869874734046</v>
      </c>
    </row>
    <row r="86" spans="3:11" x14ac:dyDescent="0.45">
      <c r="K86">
        <v>11103.381188723204</v>
      </c>
    </row>
    <row r="87" spans="3:11" x14ac:dyDescent="0.45">
      <c r="K87">
        <v>17040.634661728669</v>
      </c>
    </row>
    <row r="88" spans="3:11" x14ac:dyDescent="0.45">
      <c r="K88">
        <v>15531.007197980023</v>
      </c>
    </row>
    <row r="89" spans="3:11" x14ac:dyDescent="0.45">
      <c r="K89">
        <v>22772.662631291838</v>
      </c>
    </row>
    <row r="90" spans="3:11" x14ac:dyDescent="0.45">
      <c r="K90">
        <v>29391.164172482335</v>
      </c>
    </row>
    <row r="91" spans="3:11" x14ac:dyDescent="0.45">
      <c r="K91">
        <v>15057.576851594335</v>
      </c>
    </row>
    <row r="92" spans="3:11" x14ac:dyDescent="0.45">
      <c r="K92">
        <v>8198.4196255352836</v>
      </c>
    </row>
    <row r="93" spans="3:11" x14ac:dyDescent="0.45">
      <c r="K93">
        <v>19066.89216909794</v>
      </c>
    </row>
    <row r="94" spans="3:11" x14ac:dyDescent="0.45">
      <c r="K94">
        <v>25307.011255947349</v>
      </c>
    </row>
    <row r="95" spans="3:11" x14ac:dyDescent="0.45">
      <c r="K95">
        <v>29083.342729711443</v>
      </c>
    </row>
    <row r="96" spans="3:11" x14ac:dyDescent="0.45">
      <c r="K96">
        <v>12525.603676648187</v>
      </c>
    </row>
    <row r="97" spans="11:11" x14ac:dyDescent="0.45">
      <c r="K97">
        <v>15160.168908837479</v>
      </c>
    </row>
    <row r="98" spans="11:11" x14ac:dyDescent="0.45">
      <c r="K98">
        <v>24164.673698963281</v>
      </c>
    </row>
    <row r="99" spans="11:11" x14ac:dyDescent="0.45">
      <c r="K99">
        <v>24242.552435910533</v>
      </c>
    </row>
    <row r="100" spans="11:11" x14ac:dyDescent="0.45">
      <c r="K100">
        <v>11008.995753055357</v>
      </c>
    </row>
    <row r="101" spans="11:11" x14ac:dyDescent="0.45">
      <c r="K101">
        <v>6676.6202121486949</v>
      </c>
    </row>
    <row r="102" spans="11:11" x14ac:dyDescent="0.45">
      <c r="K102">
        <v>3876.0663076137625</v>
      </c>
    </row>
    <row r="103" spans="11:11" x14ac:dyDescent="0.45">
      <c r="K103">
        <v>28014.10707769508</v>
      </c>
    </row>
    <row r="104" spans="11:11" x14ac:dyDescent="0.45">
      <c r="K104">
        <v>19683.251472630625</v>
      </c>
    </row>
    <row r="105" spans="11:11" x14ac:dyDescent="0.45">
      <c r="K105">
        <v>22597.393415829945</v>
      </c>
    </row>
    <row r="106" spans="11:11" x14ac:dyDescent="0.45">
      <c r="K106">
        <v>5453.039019244241</v>
      </c>
    </row>
    <row r="107" spans="11:11" x14ac:dyDescent="0.45">
      <c r="K107">
        <v>28760.325877356066</v>
      </c>
    </row>
    <row r="108" spans="11:11" x14ac:dyDescent="0.45">
      <c r="K108">
        <v>0</v>
      </c>
    </row>
    <row r="109" spans="11:11" x14ac:dyDescent="0.45">
      <c r="K109">
        <v>35585.377172311913</v>
      </c>
    </row>
    <row r="110" spans="11:11" x14ac:dyDescent="0.45">
      <c r="K110">
        <v>22568.143867305982</v>
      </c>
    </row>
    <row r="111" spans="11:11" x14ac:dyDescent="0.45">
      <c r="K111">
        <v>17267.028787421965</v>
      </c>
    </row>
    <row r="112" spans="11:11" x14ac:dyDescent="0.45">
      <c r="K112">
        <v>21998.07210893081</v>
      </c>
    </row>
    <row r="113" spans="11:11" x14ac:dyDescent="0.45">
      <c r="K113">
        <v>23450.721173149468</v>
      </c>
    </row>
    <row r="114" spans="11:11" x14ac:dyDescent="0.45">
      <c r="K114">
        <v>29378.939488038966</v>
      </c>
    </row>
    <row r="115" spans="11:11" x14ac:dyDescent="0.45">
      <c r="K115">
        <v>17428.305228718335</v>
      </c>
    </row>
    <row r="116" spans="11:11" x14ac:dyDescent="0.45">
      <c r="K116">
        <v>31888.329385758443</v>
      </c>
    </row>
    <row r="117" spans="11:11" x14ac:dyDescent="0.45">
      <c r="K117">
        <v>17622.848295429823</v>
      </c>
    </row>
    <row r="118" spans="11:11" x14ac:dyDescent="0.45">
      <c r="K118">
        <v>17527.535865763966</v>
      </c>
    </row>
    <row r="119" spans="11:11" x14ac:dyDescent="0.45">
      <c r="K119">
        <v>10244.864707970964</v>
      </c>
    </row>
    <row r="120" spans="11:11" x14ac:dyDescent="0.45">
      <c r="K120">
        <v>18939.061699217174</v>
      </c>
    </row>
    <row r="121" spans="11:11" x14ac:dyDescent="0.45">
      <c r="K121">
        <v>18703.902935532838</v>
      </c>
    </row>
    <row r="122" spans="11:11" x14ac:dyDescent="0.45">
      <c r="K122">
        <v>11595.396063726541</v>
      </c>
    </row>
    <row r="123" spans="11:11" x14ac:dyDescent="0.45">
      <c r="K123">
        <v>29833.933829311252</v>
      </c>
    </row>
    <row r="124" spans="11:11" x14ac:dyDescent="0.45">
      <c r="K124">
        <v>18140.632311957332</v>
      </c>
    </row>
    <row r="125" spans="11:11" x14ac:dyDescent="0.45">
      <c r="K125">
        <v>9706.6610268588483</v>
      </c>
    </row>
    <row r="126" spans="11:11" x14ac:dyDescent="0.45">
      <c r="K126">
        <v>21156.668949085855</v>
      </c>
    </row>
    <row r="127" spans="11:11" x14ac:dyDescent="0.45">
      <c r="K127">
        <v>22594.454040477045</v>
      </c>
    </row>
    <row r="128" spans="11:11" x14ac:dyDescent="0.45">
      <c r="K128">
        <v>8103.5773204483849</v>
      </c>
    </row>
    <row r="129" spans="11:11" x14ac:dyDescent="0.45">
      <c r="K129">
        <v>25281.270385315125</v>
      </c>
    </row>
    <row r="130" spans="11:11" x14ac:dyDescent="0.45">
      <c r="K130">
        <v>15963.200655689259</v>
      </c>
    </row>
    <row r="131" spans="11:11" x14ac:dyDescent="0.45">
      <c r="K131">
        <v>19963.912441178916</v>
      </c>
    </row>
    <row r="132" spans="11:11" x14ac:dyDescent="0.45">
      <c r="K132">
        <v>18849.536421738256</v>
      </c>
    </row>
    <row r="133" spans="11:11" x14ac:dyDescent="0.45">
      <c r="K133">
        <v>31124.849945665115</v>
      </c>
    </row>
    <row r="134" spans="11:11" x14ac:dyDescent="0.45">
      <c r="K134">
        <v>7516.5998754967986</v>
      </c>
    </row>
    <row r="135" spans="11:11" x14ac:dyDescent="0.45">
      <c r="K135">
        <v>11732.060012331343</v>
      </c>
    </row>
    <row r="136" spans="11:11" x14ac:dyDescent="0.45">
      <c r="K136">
        <v>25609.366471146986</v>
      </c>
    </row>
    <row r="137" spans="11:11" x14ac:dyDescent="0.45">
      <c r="K137">
        <v>24294.400062700144</v>
      </c>
    </row>
    <row r="138" spans="11:11" x14ac:dyDescent="0.45">
      <c r="K138">
        <v>12084.456779644999</v>
      </c>
    </row>
    <row r="139" spans="11:11" x14ac:dyDescent="0.45">
      <c r="K139">
        <v>13925.311327193589</v>
      </c>
    </row>
    <row r="140" spans="11:11" x14ac:dyDescent="0.45">
      <c r="K140">
        <v>22240.679457688675</v>
      </c>
    </row>
    <row r="141" spans="11:11" x14ac:dyDescent="0.45">
      <c r="K141">
        <v>3642.8092491366933</v>
      </c>
    </row>
    <row r="142" spans="11:11" x14ac:dyDescent="0.45">
      <c r="K142">
        <v>3822.8711976496907</v>
      </c>
    </row>
    <row r="143" spans="11:11" x14ac:dyDescent="0.45">
      <c r="K143">
        <v>27473.357429962787</v>
      </c>
    </row>
    <row r="144" spans="11:11" x14ac:dyDescent="0.45">
      <c r="K144">
        <v>6649.77529693834</v>
      </c>
    </row>
    <row r="145" spans="11:11" x14ac:dyDescent="0.45">
      <c r="K145">
        <v>19918.451536131146</v>
      </c>
    </row>
    <row r="146" spans="11:11" x14ac:dyDescent="0.45">
      <c r="K146">
        <v>8547.448887810835</v>
      </c>
    </row>
    <row r="147" spans="11:11" x14ac:dyDescent="0.45">
      <c r="K147">
        <v>17190.853333326064</v>
      </c>
    </row>
    <row r="148" spans="11:11" x14ac:dyDescent="0.45">
      <c r="K148">
        <v>21433.987269499346</v>
      </c>
    </row>
    <row r="149" spans="11:11" x14ac:dyDescent="0.45">
      <c r="K149">
        <v>21847.814158033787</v>
      </c>
    </row>
    <row r="150" spans="11:11" x14ac:dyDescent="0.45">
      <c r="K150">
        <v>9777.9526840808048</v>
      </c>
    </row>
    <row r="151" spans="11:11" x14ac:dyDescent="0.45">
      <c r="K151">
        <v>9466.1254517812631</v>
      </c>
    </row>
    <row r="152" spans="11:11" x14ac:dyDescent="0.45">
      <c r="K152">
        <v>23678.186796386432</v>
      </c>
    </row>
    <row r="153" spans="11:11" x14ac:dyDescent="0.45">
      <c r="K153">
        <v>19970.100512657125</v>
      </c>
    </row>
    <row r="154" spans="11:11" x14ac:dyDescent="0.45">
      <c r="K154">
        <v>13725.98145346224</v>
      </c>
    </row>
    <row r="155" spans="11:11" x14ac:dyDescent="0.45">
      <c r="K155">
        <v>13527.604114855258</v>
      </c>
    </row>
    <row r="156" spans="11:11" x14ac:dyDescent="0.45">
      <c r="K156">
        <v>12527.924799651209</v>
      </c>
    </row>
    <row r="157" spans="11:11" x14ac:dyDescent="0.45">
      <c r="K157">
        <v>2941.3499312443819</v>
      </c>
    </row>
    <row r="158" spans="11:11" x14ac:dyDescent="0.45">
      <c r="K158">
        <v>27109.777814630663</v>
      </c>
    </row>
    <row r="159" spans="11:11" x14ac:dyDescent="0.45">
      <c r="K159">
        <v>24887.602567047754</v>
      </c>
    </row>
    <row r="160" spans="11:11" x14ac:dyDescent="0.45">
      <c r="K160">
        <v>14621.21263962921</v>
      </c>
    </row>
    <row r="161" spans="11:11" x14ac:dyDescent="0.45">
      <c r="K161">
        <v>12533.240666952217</v>
      </c>
    </row>
    <row r="162" spans="11:11" x14ac:dyDescent="0.45">
      <c r="K162">
        <v>13870.152388243825</v>
      </c>
    </row>
    <row r="163" spans="11:11" x14ac:dyDescent="0.45">
      <c r="K163">
        <v>21824.495299317012</v>
      </c>
    </row>
    <row r="164" spans="11:11" x14ac:dyDescent="0.45">
      <c r="K164">
        <v>16069.880288305016</v>
      </c>
    </row>
    <row r="165" spans="11:11" x14ac:dyDescent="0.45">
      <c r="K165">
        <v>14857.261272339238</v>
      </c>
    </row>
    <row r="166" spans="11:11" x14ac:dyDescent="0.45">
      <c r="K166">
        <v>16567.480533679936</v>
      </c>
    </row>
    <row r="167" spans="11:11" x14ac:dyDescent="0.45">
      <c r="K167">
        <v>23291.220769869306</v>
      </c>
    </row>
    <row r="168" spans="11:11" x14ac:dyDescent="0.45">
      <c r="K168">
        <v>17190.176940110941</v>
      </c>
    </row>
    <row r="169" spans="11:11" x14ac:dyDescent="0.45">
      <c r="K169">
        <v>27676.128001095909</v>
      </c>
    </row>
    <row r="170" spans="11:11" x14ac:dyDescent="0.45">
      <c r="K170">
        <v>13527.154205289546</v>
      </c>
    </row>
    <row r="171" spans="11:11" x14ac:dyDescent="0.45">
      <c r="K171">
        <v>2050.7080503977777</v>
      </c>
    </row>
    <row r="172" spans="11:11" x14ac:dyDescent="0.45">
      <c r="K172">
        <v>18540.777313106468</v>
      </c>
    </row>
    <row r="173" spans="11:11" x14ac:dyDescent="0.45">
      <c r="K173">
        <v>21694.574818995283</v>
      </c>
    </row>
    <row r="174" spans="11:11" x14ac:dyDescent="0.45">
      <c r="K174">
        <v>20999.473227687919</v>
      </c>
    </row>
    <row r="175" spans="11:11" x14ac:dyDescent="0.45">
      <c r="K175">
        <v>31076.914263837534</v>
      </c>
    </row>
    <row r="176" spans="11:11" x14ac:dyDescent="0.45">
      <c r="K176">
        <v>16011.469530097107</v>
      </c>
    </row>
    <row r="177" spans="11:11" x14ac:dyDescent="0.45">
      <c r="K177">
        <v>22508.271079166239</v>
      </c>
    </row>
    <row r="178" spans="11:11" x14ac:dyDescent="0.45">
      <c r="K178">
        <v>6251.7923157761761</v>
      </c>
    </row>
    <row r="179" spans="11:11" x14ac:dyDescent="0.45">
      <c r="K179">
        <v>20231.61980855812</v>
      </c>
    </row>
    <row r="180" spans="11:11" x14ac:dyDescent="0.45">
      <c r="K180">
        <v>24481.739539472321</v>
      </c>
    </row>
    <row r="181" spans="11:11" x14ac:dyDescent="0.45">
      <c r="K181">
        <v>9091.6111876120849</v>
      </c>
    </row>
    <row r="182" spans="11:11" x14ac:dyDescent="0.45">
      <c r="K182">
        <v>4491.6421187539963</v>
      </c>
    </row>
    <row r="183" spans="11:11" x14ac:dyDescent="0.45">
      <c r="K183">
        <v>24026.871140566276</v>
      </c>
    </row>
    <row r="184" spans="11:11" x14ac:dyDescent="0.45">
      <c r="K184">
        <v>22589.976177651384</v>
      </c>
    </row>
    <row r="185" spans="11:11" x14ac:dyDescent="0.45">
      <c r="K185">
        <v>20690.858088708956</v>
      </c>
    </row>
    <row r="186" spans="11:11" x14ac:dyDescent="0.45">
      <c r="K186">
        <v>4633.131555053722</v>
      </c>
    </row>
    <row r="187" spans="11:11" x14ac:dyDescent="0.45">
      <c r="K187">
        <v>7890.2626047453668</v>
      </c>
    </row>
    <row r="188" spans="11:11" x14ac:dyDescent="0.45">
      <c r="K188">
        <v>8412.476968292729</v>
      </c>
    </row>
    <row r="189" spans="11:11" x14ac:dyDescent="0.45">
      <c r="K189">
        <v>9468.941354306724</v>
      </c>
    </row>
    <row r="190" spans="11:11" x14ac:dyDescent="0.45">
      <c r="K190">
        <v>19288.92884398477</v>
      </c>
    </row>
    <row r="191" spans="11:11" x14ac:dyDescent="0.45">
      <c r="K191">
        <v>23485.818194343698</v>
      </c>
    </row>
    <row r="192" spans="11:11" x14ac:dyDescent="0.45">
      <c r="K192">
        <v>8304.0875471274994</v>
      </c>
    </row>
    <row r="193" spans="11:11" x14ac:dyDescent="0.45">
      <c r="K193">
        <v>17611.717535384374</v>
      </c>
    </row>
    <row r="194" spans="11:11" x14ac:dyDescent="0.45">
      <c r="K194">
        <v>22552.067717712769</v>
      </c>
    </row>
    <row r="195" spans="11:11" x14ac:dyDescent="0.45">
      <c r="K195">
        <v>20423.472937682825</v>
      </c>
    </row>
    <row r="196" spans="11:11" x14ac:dyDescent="0.45">
      <c r="K196">
        <v>24490.543640515694</v>
      </c>
    </row>
    <row r="197" spans="11:11" x14ac:dyDescent="0.45">
      <c r="K197">
        <v>21357.307899057905</v>
      </c>
    </row>
    <row r="198" spans="11:11" x14ac:dyDescent="0.45">
      <c r="K198">
        <v>26004.328366720772</v>
      </c>
    </row>
    <row r="199" spans="11:11" x14ac:dyDescent="0.45">
      <c r="K199">
        <v>8591.1762952098325</v>
      </c>
    </row>
    <row r="200" spans="11:11" x14ac:dyDescent="0.45">
      <c r="K200">
        <v>0</v>
      </c>
    </row>
    <row r="201" spans="11:11" x14ac:dyDescent="0.45">
      <c r="K201">
        <v>20184.301878768521</v>
      </c>
    </row>
    <row r="202" spans="11:11" x14ac:dyDescent="0.45">
      <c r="K202">
        <v>29378.057105600921</v>
      </c>
    </row>
    <row r="203" spans="11:11" x14ac:dyDescent="0.45">
      <c r="K203">
        <v>17928.153671419845</v>
      </c>
    </row>
    <row r="204" spans="11:11" x14ac:dyDescent="0.45">
      <c r="K204">
        <v>12600.596135575985</v>
      </c>
    </row>
    <row r="205" spans="11:11" x14ac:dyDescent="0.45">
      <c r="K205">
        <v>6374.6974481993147</v>
      </c>
    </row>
    <row r="206" spans="11:11" x14ac:dyDescent="0.45">
      <c r="K206">
        <v>12558.407533170997</v>
      </c>
    </row>
    <row r="207" spans="11:11" x14ac:dyDescent="0.45">
      <c r="K207">
        <v>11263.698260234507</v>
      </c>
    </row>
    <row r="208" spans="11:11" x14ac:dyDescent="0.45">
      <c r="K208">
        <v>26343.629567186603</v>
      </c>
    </row>
    <row r="209" spans="11:11" x14ac:dyDescent="0.45">
      <c r="K209">
        <v>19553.298734802425</v>
      </c>
    </row>
    <row r="210" spans="11:11" x14ac:dyDescent="0.45">
      <c r="K210">
        <v>20382.205340971079</v>
      </c>
    </row>
    <row r="211" spans="11:11" x14ac:dyDescent="0.45">
      <c r="K211">
        <v>14439.674770415519</v>
      </c>
    </row>
    <row r="212" spans="11:11" x14ac:dyDescent="0.45">
      <c r="K212">
        <v>18557.48857652771</v>
      </c>
    </row>
    <row r="213" spans="11:11" x14ac:dyDescent="0.45">
      <c r="K213">
        <v>19822.264660869998</v>
      </c>
    </row>
    <row r="214" spans="11:11" x14ac:dyDescent="0.45">
      <c r="K214">
        <v>23230.396268607201</v>
      </c>
    </row>
    <row r="215" spans="11:11" x14ac:dyDescent="0.45">
      <c r="K215">
        <v>8767.8450758722574</v>
      </c>
    </row>
    <row r="216" spans="11:11" x14ac:dyDescent="0.45">
      <c r="K216">
        <v>22923.553784987773</v>
      </c>
    </row>
    <row r="217" spans="11:11" x14ac:dyDescent="0.45">
      <c r="K217">
        <v>16510.247538270472</v>
      </c>
    </row>
    <row r="218" spans="11:11" x14ac:dyDescent="0.45">
      <c r="K218">
        <v>19113.433506825608</v>
      </c>
    </row>
    <row r="219" spans="11:11" x14ac:dyDescent="0.45">
      <c r="K219">
        <v>13815.315896746739</v>
      </c>
    </row>
    <row r="220" spans="11:11" x14ac:dyDescent="0.45">
      <c r="K220">
        <v>18150.648707548131</v>
      </c>
    </row>
    <row r="221" spans="11:11" x14ac:dyDescent="0.45">
      <c r="K221">
        <v>35076.415279792898</v>
      </c>
    </row>
    <row r="222" spans="11:11" x14ac:dyDescent="0.45">
      <c r="K222">
        <v>10551.753831559115</v>
      </c>
    </row>
    <row r="223" spans="11:11" x14ac:dyDescent="0.45">
      <c r="K223">
        <v>0</v>
      </c>
    </row>
    <row r="224" spans="11:11" x14ac:dyDescent="0.45">
      <c r="K224">
        <v>17407.507431487982</v>
      </c>
    </row>
    <row r="225" spans="11:11" x14ac:dyDescent="0.45">
      <c r="K225">
        <v>7153.3505866320738</v>
      </c>
    </row>
    <row r="226" spans="11:11" x14ac:dyDescent="0.45">
      <c r="K226">
        <v>20185.511428220496</v>
      </c>
    </row>
    <row r="227" spans="11:11" x14ac:dyDescent="0.45">
      <c r="K227">
        <v>24703.50634527822</v>
      </c>
    </row>
    <row r="228" spans="11:11" x14ac:dyDescent="0.45">
      <c r="K228">
        <v>19941.931355398381</v>
      </c>
    </row>
    <row r="229" spans="11:11" x14ac:dyDescent="0.45">
      <c r="K229">
        <v>6015.585239536771</v>
      </c>
    </row>
    <row r="230" spans="11:11" x14ac:dyDescent="0.45">
      <c r="K230">
        <v>23881.741336830648</v>
      </c>
    </row>
    <row r="231" spans="11:11" x14ac:dyDescent="0.45">
      <c r="K231">
        <v>16223.386275202212</v>
      </c>
    </row>
    <row r="232" spans="11:11" x14ac:dyDescent="0.45">
      <c r="K232">
        <v>5909.4119663035581</v>
      </c>
    </row>
    <row r="233" spans="11:11" x14ac:dyDescent="0.45">
      <c r="K233">
        <v>22378.244974709654</v>
      </c>
    </row>
    <row r="234" spans="11:11" x14ac:dyDescent="0.45">
      <c r="K234">
        <v>22572.115325912058</v>
      </c>
    </row>
    <row r="235" spans="11:11" x14ac:dyDescent="0.45">
      <c r="K235">
        <v>13391.773247887111</v>
      </c>
    </row>
    <row r="236" spans="11:11" x14ac:dyDescent="0.45">
      <c r="K236">
        <v>21759.891620442137</v>
      </c>
    </row>
    <row r="237" spans="11:11" x14ac:dyDescent="0.45">
      <c r="K237">
        <v>17230.120011866107</v>
      </c>
    </row>
    <row r="238" spans="11:11" x14ac:dyDescent="0.45">
      <c r="K238">
        <v>10916.714723785968</v>
      </c>
    </row>
    <row r="239" spans="11:11" x14ac:dyDescent="0.45">
      <c r="K239">
        <v>4581.7599020807211</v>
      </c>
    </row>
    <row r="240" spans="11:11" x14ac:dyDescent="0.45">
      <c r="K240">
        <v>1567.4538821288534</v>
      </c>
    </row>
    <row r="241" spans="11:11" x14ac:dyDescent="0.45">
      <c r="K241">
        <v>8576.5424762682414</v>
      </c>
    </row>
    <row r="242" spans="11:11" x14ac:dyDescent="0.45">
      <c r="K242">
        <v>17933.817621836581</v>
      </c>
    </row>
    <row r="243" spans="11:11" x14ac:dyDescent="0.45">
      <c r="K243">
        <v>3986.3303627070782</v>
      </c>
    </row>
    <row r="244" spans="11:11" x14ac:dyDescent="0.45">
      <c r="K244">
        <v>13548.294154385869</v>
      </c>
    </row>
    <row r="245" spans="11:11" x14ac:dyDescent="0.45">
      <c r="K245">
        <v>16164.120861448069</v>
      </c>
    </row>
    <row r="246" spans="11:11" x14ac:dyDescent="0.45">
      <c r="K246">
        <v>24861.216046034537</v>
      </c>
    </row>
    <row r="247" spans="11:11" x14ac:dyDescent="0.45">
      <c r="K247">
        <v>15953.652007588144</v>
      </c>
    </row>
    <row r="248" spans="11:11" x14ac:dyDescent="0.45">
      <c r="K248">
        <v>31828.787268277956</v>
      </c>
    </row>
    <row r="249" spans="11:11" x14ac:dyDescent="0.45">
      <c r="K249">
        <v>26669.300339906542</v>
      </c>
    </row>
    <row r="250" spans="11:11" x14ac:dyDescent="0.45">
      <c r="K250">
        <v>27206.011957847499</v>
      </c>
    </row>
    <row r="251" spans="11:11" x14ac:dyDescent="0.45">
      <c r="K251">
        <v>40702.174613283816</v>
      </c>
    </row>
    <row r="252" spans="11:11" x14ac:dyDescent="0.45">
      <c r="K252">
        <v>25153.129911856318</v>
      </c>
    </row>
    <row r="253" spans="11:11" x14ac:dyDescent="0.45">
      <c r="K253">
        <v>24501.009251388634</v>
      </c>
    </row>
    <row r="254" spans="11:11" x14ac:dyDescent="0.45">
      <c r="K254">
        <v>10529.548422372658</v>
      </c>
    </row>
    <row r="255" spans="11:11" x14ac:dyDescent="0.45">
      <c r="K255">
        <v>14117.610184508787</v>
      </c>
    </row>
    <row r="256" spans="11:11" x14ac:dyDescent="0.45">
      <c r="K256">
        <v>26692.454330679509</v>
      </c>
    </row>
    <row r="257" spans="11:11" x14ac:dyDescent="0.45">
      <c r="K257">
        <v>13383.341933473859</v>
      </c>
    </row>
    <row r="258" spans="11:11" x14ac:dyDescent="0.45">
      <c r="K258">
        <v>14137.131233604523</v>
      </c>
    </row>
    <row r="259" spans="11:11" x14ac:dyDescent="0.45">
      <c r="K259">
        <v>19648.032068521934</v>
      </c>
    </row>
    <row r="260" spans="11:11" x14ac:dyDescent="0.45">
      <c r="K260">
        <v>9550.0105469977207</v>
      </c>
    </row>
    <row r="261" spans="11:11" x14ac:dyDescent="0.45">
      <c r="K261">
        <v>14166.873426412745</v>
      </c>
    </row>
    <row r="262" spans="11:11" x14ac:dyDescent="0.45">
      <c r="K262">
        <v>25636.564903727227</v>
      </c>
    </row>
    <row r="263" spans="11:11" x14ac:dyDescent="0.45">
      <c r="K263">
        <v>10054.503735111928</v>
      </c>
    </row>
    <row r="264" spans="11:11" x14ac:dyDescent="0.45">
      <c r="K264">
        <v>2771.7072354928987</v>
      </c>
    </row>
    <row r="265" spans="11:11" x14ac:dyDescent="0.45">
      <c r="K265">
        <v>5581.4309838303197</v>
      </c>
    </row>
    <row r="266" spans="11:11" x14ac:dyDescent="0.45">
      <c r="K266">
        <v>13374.233235734615</v>
      </c>
    </row>
    <row r="267" spans="11:11" x14ac:dyDescent="0.45">
      <c r="K267">
        <v>15581.009406323948</v>
      </c>
    </row>
    <row r="268" spans="11:11" x14ac:dyDescent="0.45">
      <c r="K268">
        <v>27670.426769138154</v>
      </c>
    </row>
    <row r="269" spans="11:11" x14ac:dyDescent="0.45">
      <c r="K269">
        <v>28294.677658297049</v>
      </c>
    </row>
    <row r="270" spans="11:11" x14ac:dyDescent="0.45">
      <c r="K270">
        <v>24282.229666227769</v>
      </c>
    </row>
    <row r="271" spans="11:11" x14ac:dyDescent="0.45">
      <c r="K271">
        <v>21146.184622140165</v>
      </c>
    </row>
    <row r="272" spans="11:11" x14ac:dyDescent="0.45">
      <c r="K272">
        <v>10269.661777885976</v>
      </c>
    </row>
    <row r="273" spans="11:11" x14ac:dyDescent="0.45">
      <c r="K273">
        <v>31138.833610216519</v>
      </c>
    </row>
    <row r="274" spans="11:11" x14ac:dyDescent="0.45">
      <c r="K274">
        <v>16176.86412009609</v>
      </c>
    </row>
    <row r="275" spans="11:11" x14ac:dyDescent="0.45">
      <c r="K275">
        <v>16562.293297662382</v>
      </c>
    </row>
    <row r="276" spans="11:11" x14ac:dyDescent="0.45">
      <c r="K276">
        <v>12369.004607114488</v>
      </c>
    </row>
    <row r="277" spans="11:11" x14ac:dyDescent="0.45">
      <c r="K277">
        <v>10830.535038750257</v>
      </c>
    </row>
    <row r="278" spans="11:11" x14ac:dyDescent="0.45">
      <c r="K278">
        <v>0</v>
      </c>
    </row>
    <row r="279" spans="11:11" x14ac:dyDescent="0.45">
      <c r="K279">
        <v>19032.876060940089</v>
      </c>
    </row>
    <row r="280" spans="11:11" x14ac:dyDescent="0.45">
      <c r="K280">
        <v>18230.583980659641</v>
      </c>
    </row>
    <row r="281" spans="11:11" x14ac:dyDescent="0.45">
      <c r="K281">
        <v>18207.492267905345</v>
      </c>
    </row>
    <row r="282" spans="11:11" x14ac:dyDescent="0.45">
      <c r="K282">
        <v>8011.3574889629308</v>
      </c>
    </row>
    <row r="283" spans="11:11" x14ac:dyDescent="0.45">
      <c r="K283">
        <v>17088.252606084534</v>
      </c>
    </row>
    <row r="284" spans="11:11" x14ac:dyDescent="0.45">
      <c r="K284">
        <v>28811.990035295443</v>
      </c>
    </row>
    <row r="285" spans="11:11" x14ac:dyDescent="0.45">
      <c r="K285">
        <v>27370.921158152356</v>
      </c>
    </row>
    <row r="286" spans="11:11" x14ac:dyDescent="0.45">
      <c r="K286">
        <v>18592.747009597184</v>
      </c>
    </row>
    <row r="287" spans="11:11" x14ac:dyDescent="0.45">
      <c r="K287">
        <v>20839.324741643792</v>
      </c>
    </row>
    <row r="288" spans="11:11" x14ac:dyDescent="0.45">
      <c r="K288">
        <v>14223.122005032117</v>
      </c>
    </row>
    <row r="289" spans="11:11" x14ac:dyDescent="0.45">
      <c r="K289">
        <v>7121.836193011015</v>
      </c>
    </row>
    <row r="290" spans="11:11" x14ac:dyDescent="0.45">
      <c r="K290">
        <v>28876.843659385144</v>
      </c>
    </row>
    <row r="291" spans="11:11" x14ac:dyDescent="0.45">
      <c r="K291">
        <v>14062.389587090145</v>
      </c>
    </row>
    <row r="292" spans="11:11" x14ac:dyDescent="0.45">
      <c r="K292">
        <v>16750.818545836442</v>
      </c>
    </row>
    <row r="293" spans="11:11" x14ac:dyDescent="0.45">
      <c r="K293">
        <v>8965.2532876754212</v>
      </c>
    </row>
    <row r="294" spans="11:11" x14ac:dyDescent="0.45">
      <c r="K294">
        <v>30955.782392610119</v>
      </c>
    </row>
    <row r="295" spans="11:11" x14ac:dyDescent="0.45">
      <c r="K295">
        <v>20624.812698175854</v>
      </c>
    </row>
    <row r="296" spans="11:11" x14ac:dyDescent="0.45">
      <c r="K296">
        <v>21740.106214475007</v>
      </c>
    </row>
    <row r="297" spans="11:11" x14ac:dyDescent="0.45">
      <c r="K297">
        <v>18971.940959769701</v>
      </c>
    </row>
    <row r="298" spans="11:11" x14ac:dyDescent="0.45">
      <c r="K298">
        <v>19321.576859087283</v>
      </c>
    </row>
    <row r="299" spans="11:11" x14ac:dyDescent="0.45">
      <c r="K299">
        <v>10805.346441294849</v>
      </c>
    </row>
    <row r="300" spans="11:11" x14ac:dyDescent="0.45">
      <c r="K300">
        <v>5405.6620143633154</v>
      </c>
    </row>
    <row r="301" spans="11:11" x14ac:dyDescent="0.45">
      <c r="K301">
        <v>15773.947138506055</v>
      </c>
    </row>
    <row r="302" spans="11:11" x14ac:dyDescent="0.45">
      <c r="K302">
        <v>25766.046117212303</v>
      </c>
    </row>
    <row r="303" spans="11:11" x14ac:dyDescent="0.45">
      <c r="K303">
        <v>16951.538137266551</v>
      </c>
    </row>
    <row r="304" spans="11:11" x14ac:dyDescent="0.45">
      <c r="K304">
        <v>6967.9601513762409</v>
      </c>
    </row>
    <row r="305" spans="11:11" x14ac:dyDescent="0.45">
      <c r="K305">
        <v>11902.865617424206</v>
      </c>
    </row>
    <row r="306" spans="11:11" x14ac:dyDescent="0.45">
      <c r="K306">
        <v>14634.741642353491</v>
      </c>
    </row>
    <row r="307" spans="11:11" x14ac:dyDescent="0.45">
      <c r="K307">
        <v>27838.25393612984</v>
      </c>
    </row>
    <row r="308" spans="11:11" x14ac:dyDescent="0.45">
      <c r="K308">
        <v>14250.163594710815</v>
      </c>
    </row>
    <row r="309" spans="11:11" x14ac:dyDescent="0.45">
      <c r="K309">
        <v>16094.64776371468</v>
      </c>
    </row>
    <row r="310" spans="11:11" x14ac:dyDescent="0.45">
      <c r="K310">
        <v>17521.933597804196</v>
      </c>
    </row>
    <row r="311" spans="11:11" x14ac:dyDescent="0.45">
      <c r="K311">
        <v>16800.830748850065</v>
      </c>
    </row>
    <row r="312" spans="11:11" x14ac:dyDescent="0.45">
      <c r="K312">
        <v>15135.533047120809</v>
      </c>
    </row>
    <row r="313" spans="11:11" x14ac:dyDescent="0.45">
      <c r="K313">
        <v>22988.285499253117</v>
      </c>
    </row>
    <row r="314" spans="11:11" x14ac:dyDescent="0.45">
      <c r="K314">
        <v>8660.5007813236407</v>
      </c>
    </row>
    <row r="315" spans="11:11" x14ac:dyDescent="0.45">
      <c r="K315">
        <v>15249.14018870705</v>
      </c>
    </row>
    <row r="316" spans="11:11" x14ac:dyDescent="0.45">
      <c r="K316">
        <v>16529.618663591904</v>
      </c>
    </row>
    <row r="317" spans="11:11" x14ac:dyDescent="0.45">
      <c r="K317">
        <v>8810.0904210749686</v>
      </c>
    </row>
    <row r="318" spans="11:11" x14ac:dyDescent="0.45">
      <c r="K318">
        <v>21798.266864528352</v>
      </c>
    </row>
    <row r="319" spans="11:11" x14ac:dyDescent="0.45">
      <c r="K319">
        <v>26678.007705886856</v>
      </c>
    </row>
    <row r="320" spans="11:11" x14ac:dyDescent="0.45">
      <c r="K320">
        <v>14319.011840947907</v>
      </c>
    </row>
    <row r="321" spans="11:11" x14ac:dyDescent="0.45">
      <c r="K321">
        <v>21441.600351148001</v>
      </c>
    </row>
    <row r="322" spans="11:11" x14ac:dyDescent="0.45">
      <c r="K322">
        <v>24021.471590635352</v>
      </c>
    </row>
    <row r="323" spans="11:11" x14ac:dyDescent="0.45">
      <c r="K323">
        <v>12246.92662758593</v>
      </c>
    </row>
    <row r="324" spans="11:11" x14ac:dyDescent="0.45">
      <c r="K324">
        <v>10909.713930958264</v>
      </c>
    </row>
    <row r="325" spans="11:11" x14ac:dyDescent="0.45">
      <c r="K325">
        <v>7783.9512602692539</v>
      </c>
    </row>
    <row r="326" spans="11:11" x14ac:dyDescent="0.45">
      <c r="K326">
        <v>29681.312255196692</v>
      </c>
    </row>
    <row r="327" spans="11:11" x14ac:dyDescent="0.45">
      <c r="K327">
        <v>14675.396943252797</v>
      </c>
    </row>
    <row r="328" spans="11:11" x14ac:dyDescent="0.45">
      <c r="K328">
        <v>18025.32454352951</v>
      </c>
    </row>
    <row r="329" spans="11:11" x14ac:dyDescent="0.45">
      <c r="K329">
        <v>1477.5197144160356</v>
      </c>
    </row>
    <row r="330" spans="11:11" x14ac:dyDescent="0.45">
      <c r="K330">
        <v>2306.7043538106445</v>
      </c>
    </row>
    <row r="331" spans="11:11" x14ac:dyDescent="0.45">
      <c r="K331">
        <v>36546.821451444368</v>
      </c>
    </row>
    <row r="332" spans="11:11" x14ac:dyDescent="0.45">
      <c r="K332">
        <v>4658.7489807257607</v>
      </c>
    </row>
    <row r="333" spans="11:11" x14ac:dyDescent="0.45">
      <c r="K333">
        <v>12583.220556784427</v>
      </c>
    </row>
    <row r="334" spans="11:11" x14ac:dyDescent="0.45">
      <c r="K334">
        <v>16057.829995338225</v>
      </c>
    </row>
    <row r="335" spans="11:11" x14ac:dyDescent="0.45">
      <c r="K335">
        <v>16260.605698716967</v>
      </c>
    </row>
    <row r="336" spans="11:11" x14ac:dyDescent="0.45">
      <c r="K336">
        <v>31384.722828704987</v>
      </c>
    </row>
    <row r="337" spans="11:11" x14ac:dyDescent="0.45">
      <c r="K337">
        <v>13907.281668063564</v>
      </c>
    </row>
    <row r="338" spans="11:11" x14ac:dyDescent="0.45">
      <c r="K338">
        <v>8139.1678864844525</v>
      </c>
    </row>
    <row r="339" spans="11:11" x14ac:dyDescent="0.45">
      <c r="K339">
        <v>9278.1233213377982</v>
      </c>
    </row>
    <row r="340" spans="11:11" x14ac:dyDescent="0.45">
      <c r="K340">
        <v>21078.905750247533</v>
      </c>
    </row>
    <row r="341" spans="11:11" x14ac:dyDescent="0.45">
      <c r="K341">
        <v>16297.148158863576</v>
      </c>
    </row>
    <row r="342" spans="11:11" x14ac:dyDescent="0.45">
      <c r="K342">
        <v>22324.425900352762</v>
      </c>
    </row>
    <row r="343" spans="11:11" x14ac:dyDescent="0.45">
      <c r="K343">
        <v>14820.314069539798</v>
      </c>
    </row>
    <row r="344" spans="11:11" x14ac:dyDescent="0.45">
      <c r="K344">
        <v>27722.931648915946</v>
      </c>
    </row>
    <row r="345" spans="11:11" x14ac:dyDescent="0.45">
      <c r="K345">
        <v>14452.904492940197</v>
      </c>
    </row>
    <row r="346" spans="11:11" x14ac:dyDescent="0.45">
      <c r="K346">
        <v>18048.436860601363</v>
      </c>
    </row>
    <row r="347" spans="11:11" x14ac:dyDescent="0.45">
      <c r="K347">
        <v>12654.154621864753</v>
      </c>
    </row>
    <row r="348" spans="11:11" x14ac:dyDescent="0.45">
      <c r="K348">
        <v>30104.232101041649</v>
      </c>
    </row>
    <row r="349" spans="11:11" x14ac:dyDescent="0.45">
      <c r="K349">
        <v>17668.554450653119</v>
      </c>
    </row>
    <row r="350" spans="11:11" x14ac:dyDescent="0.45">
      <c r="K350">
        <v>0</v>
      </c>
    </row>
    <row r="351" spans="11:11" x14ac:dyDescent="0.45">
      <c r="K351">
        <v>19532.029917639196</v>
      </c>
    </row>
    <row r="352" spans="11:11" x14ac:dyDescent="0.45">
      <c r="K352">
        <v>12073.376574940688</v>
      </c>
    </row>
    <row r="353" spans="11:11" x14ac:dyDescent="0.45">
      <c r="K353">
        <v>3613.1891655096661</v>
      </c>
    </row>
    <row r="354" spans="11:11" x14ac:dyDescent="0.45">
      <c r="K354">
        <v>11501.248828316413</v>
      </c>
    </row>
    <row r="355" spans="11:11" x14ac:dyDescent="0.45">
      <c r="K355">
        <v>18884.557528886384</v>
      </c>
    </row>
    <row r="356" spans="11:11" x14ac:dyDescent="0.45">
      <c r="K356">
        <v>16014.316323996576</v>
      </c>
    </row>
    <row r="357" spans="11:11" x14ac:dyDescent="0.45">
      <c r="K357">
        <v>11987.913187596812</v>
      </c>
    </row>
    <row r="358" spans="11:11" x14ac:dyDescent="0.45">
      <c r="K358">
        <v>22340.662937906702</v>
      </c>
    </row>
    <row r="359" spans="11:11" x14ac:dyDescent="0.45">
      <c r="K359">
        <v>18681.504441605146</v>
      </c>
    </row>
    <row r="360" spans="11:11" x14ac:dyDescent="0.45">
      <c r="K360">
        <v>20677.820032361116</v>
      </c>
    </row>
    <row r="361" spans="11:11" x14ac:dyDescent="0.45">
      <c r="K361">
        <v>14816.596873797107</v>
      </c>
    </row>
    <row r="362" spans="11:11" x14ac:dyDescent="0.45">
      <c r="K362">
        <v>12770.37121940828</v>
      </c>
    </row>
    <row r="363" spans="11:11" x14ac:dyDescent="0.45">
      <c r="K363">
        <v>20172.98304970255</v>
      </c>
    </row>
    <row r="364" spans="11:11" x14ac:dyDescent="0.45">
      <c r="K364">
        <v>16111.293301439679</v>
      </c>
    </row>
    <row r="365" spans="11:11" x14ac:dyDescent="0.45">
      <c r="K365">
        <v>31342.57754197963</v>
      </c>
    </row>
    <row r="366" spans="11:11" x14ac:dyDescent="0.45">
      <c r="K366">
        <v>20083.47750868557</v>
      </c>
    </row>
    <row r="367" spans="11:11" x14ac:dyDescent="0.45">
      <c r="K367">
        <v>25779.722295566113</v>
      </c>
    </row>
    <row r="368" spans="11:11" x14ac:dyDescent="0.45">
      <c r="K368">
        <v>13961.737167571962</v>
      </c>
    </row>
    <row r="369" spans="11:11" x14ac:dyDescent="0.45">
      <c r="K369">
        <v>18233.174770527847</v>
      </c>
    </row>
    <row r="370" spans="11:11" x14ac:dyDescent="0.45">
      <c r="K370">
        <v>17139.274701289254</v>
      </c>
    </row>
    <row r="371" spans="11:11" x14ac:dyDescent="0.45">
      <c r="K371">
        <v>19160.400250137252</v>
      </c>
    </row>
    <row r="372" spans="11:11" x14ac:dyDescent="0.45">
      <c r="K372">
        <v>0</v>
      </c>
    </row>
    <row r="373" spans="11:11" x14ac:dyDescent="0.45">
      <c r="K373">
        <v>9338.2205800876509</v>
      </c>
    </row>
    <row r="374" spans="11:11" x14ac:dyDescent="0.45">
      <c r="K374">
        <v>20948.428971958176</v>
      </c>
    </row>
    <row r="375" spans="11:11" x14ac:dyDescent="0.45">
      <c r="K375">
        <v>22550.523647878519</v>
      </c>
    </row>
    <row r="376" spans="11:11" x14ac:dyDescent="0.45">
      <c r="K376">
        <v>15668.263156449277</v>
      </c>
    </row>
    <row r="377" spans="11:11" x14ac:dyDescent="0.45">
      <c r="K377">
        <v>20380.621247210885</v>
      </c>
    </row>
    <row r="378" spans="11:11" x14ac:dyDescent="0.45">
      <c r="K378">
        <v>1415.8952332623303</v>
      </c>
    </row>
    <row r="379" spans="11:11" x14ac:dyDescent="0.45">
      <c r="K379">
        <v>15470.782436989341</v>
      </c>
    </row>
    <row r="380" spans="11:11" x14ac:dyDescent="0.45">
      <c r="K380">
        <v>9591.3206543776905</v>
      </c>
    </row>
    <row r="381" spans="11:11" x14ac:dyDescent="0.45">
      <c r="K381">
        <v>17939.673366172938</v>
      </c>
    </row>
    <row r="382" spans="11:11" x14ac:dyDescent="0.45">
      <c r="K382">
        <v>5735.1934991012367</v>
      </c>
    </row>
    <row r="383" spans="11:11" x14ac:dyDescent="0.45">
      <c r="K383">
        <v>563.62787261798439</v>
      </c>
    </row>
    <row r="384" spans="11:11" x14ac:dyDescent="0.45">
      <c r="K384">
        <v>11992.907033555844</v>
      </c>
    </row>
    <row r="385" spans="11:11" x14ac:dyDescent="0.45">
      <c r="K385">
        <v>16706.46322663303</v>
      </c>
    </row>
    <row r="386" spans="11:11" x14ac:dyDescent="0.45">
      <c r="K386">
        <v>18545.135276277866</v>
      </c>
    </row>
    <row r="387" spans="11:11" x14ac:dyDescent="0.45">
      <c r="K387">
        <v>8983.8912626180754</v>
      </c>
    </row>
    <row r="388" spans="11:11" x14ac:dyDescent="0.45">
      <c r="K388">
        <v>19253.275948933289</v>
      </c>
    </row>
    <row r="389" spans="11:11" x14ac:dyDescent="0.45">
      <c r="K389">
        <v>23021.856254327908</v>
      </c>
    </row>
    <row r="390" spans="11:11" x14ac:dyDescent="0.45">
      <c r="K390">
        <v>0</v>
      </c>
    </row>
    <row r="391" spans="11:11" x14ac:dyDescent="0.45">
      <c r="K391">
        <v>4594.8440187888209</v>
      </c>
    </row>
    <row r="392" spans="11:11" x14ac:dyDescent="0.45">
      <c r="K392">
        <v>24229.932694219689</v>
      </c>
    </row>
    <row r="393" spans="11:11" x14ac:dyDescent="0.45">
      <c r="K393">
        <v>18724.510088142517</v>
      </c>
    </row>
    <row r="394" spans="11:11" x14ac:dyDescent="0.45">
      <c r="K394">
        <v>12340.193893671763</v>
      </c>
    </row>
    <row r="395" spans="11:11" x14ac:dyDescent="0.45">
      <c r="K395">
        <v>5992.9040458951768</v>
      </c>
    </row>
    <row r="396" spans="11:11" x14ac:dyDescent="0.45">
      <c r="K396">
        <v>1779.7244664247264</v>
      </c>
    </row>
    <row r="397" spans="11:11" x14ac:dyDescent="0.45">
      <c r="K397">
        <v>7166.6343324383561</v>
      </c>
    </row>
    <row r="398" spans="11:11" x14ac:dyDescent="0.45">
      <c r="K398">
        <v>20133.941843603785</v>
      </c>
    </row>
    <row r="399" spans="11:11" x14ac:dyDescent="0.45">
      <c r="K399">
        <v>10722.585430796798</v>
      </c>
    </row>
    <row r="400" spans="11:11" x14ac:dyDescent="0.45">
      <c r="K400">
        <v>14734.647105277547</v>
      </c>
    </row>
    <row r="401" spans="11:11" x14ac:dyDescent="0.45">
      <c r="K401">
        <v>21928.552312506239</v>
      </c>
    </row>
    <row r="402" spans="11:11" x14ac:dyDescent="0.45">
      <c r="K402">
        <v>15143.160345158718</v>
      </c>
    </row>
    <row r="403" spans="11:11" x14ac:dyDescent="0.45">
      <c r="K403">
        <v>15568.234894122905</v>
      </c>
    </row>
    <row r="404" spans="11:11" x14ac:dyDescent="0.45">
      <c r="K404">
        <v>22869.547897101686</v>
      </c>
    </row>
    <row r="405" spans="11:11" x14ac:dyDescent="0.45">
      <c r="K405">
        <v>14492.985300393962</v>
      </c>
    </row>
    <row r="406" spans="11:11" x14ac:dyDescent="0.45">
      <c r="K406">
        <v>17716.45101746979</v>
      </c>
    </row>
    <row r="407" spans="11:11" x14ac:dyDescent="0.45">
      <c r="K407">
        <v>18500.19603473493</v>
      </c>
    </row>
    <row r="408" spans="11:11" x14ac:dyDescent="0.45">
      <c r="K408">
        <v>31946.911485937075</v>
      </c>
    </row>
    <row r="409" spans="11:11" x14ac:dyDescent="0.45">
      <c r="K409">
        <v>30091.302684345486</v>
      </c>
    </row>
    <row r="410" spans="11:11" x14ac:dyDescent="0.45">
      <c r="K410">
        <v>12206.810149732633</v>
      </c>
    </row>
    <row r="411" spans="11:11" x14ac:dyDescent="0.45">
      <c r="K411">
        <v>0</v>
      </c>
    </row>
    <row r="412" spans="11:11" x14ac:dyDescent="0.45">
      <c r="K412">
        <v>24554.822285432798</v>
      </c>
    </row>
    <row r="413" spans="11:11" x14ac:dyDescent="0.45">
      <c r="K413">
        <v>25553.536367366796</v>
      </c>
    </row>
    <row r="414" spans="11:11" x14ac:dyDescent="0.45">
      <c r="K414">
        <v>15798.284642770237</v>
      </c>
    </row>
    <row r="415" spans="11:11" x14ac:dyDescent="0.45">
      <c r="K415">
        <v>0</v>
      </c>
    </row>
    <row r="416" spans="11:11" x14ac:dyDescent="0.45">
      <c r="K416">
        <v>21661.221610796991</v>
      </c>
    </row>
    <row r="417" spans="11:11" x14ac:dyDescent="0.45">
      <c r="K417">
        <v>19000.804977441498</v>
      </c>
    </row>
    <row r="418" spans="11:11" x14ac:dyDescent="0.45">
      <c r="K418">
        <v>24232.88386561655</v>
      </c>
    </row>
    <row r="419" spans="11:11" x14ac:dyDescent="0.45">
      <c r="K419">
        <v>12075.337341911025</v>
      </c>
    </row>
    <row r="420" spans="11:11" x14ac:dyDescent="0.45">
      <c r="K420">
        <v>15853.694591377176</v>
      </c>
    </row>
    <row r="421" spans="11:11" x14ac:dyDescent="0.45">
      <c r="K421">
        <v>16894.630331384771</v>
      </c>
    </row>
    <row r="422" spans="11:11" x14ac:dyDescent="0.45">
      <c r="K422">
        <v>21204.660080730162</v>
      </c>
    </row>
    <row r="423" spans="11:11" x14ac:dyDescent="0.45">
      <c r="K423">
        <v>0</v>
      </c>
    </row>
    <row r="424" spans="11:11" x14ac:dyDescent="0.45">
      <c r="K424">
        <v>6916.6186905855338</v>
      </c>
    </row>
    <row r="425" spans="11:11" x14ac:dyDescent="0.45">
      <c r="K425">
        <v>12087.012640547211</v>
      </c>
    </row>
    <row r="426" spans="11:11" x14ac:dyDescent="0.45">
      <c r="K426">
        <v>26137.947596695856</v>
      </c>
    </row>
    <row r="427" spans="11:11" x14ac:dyDescent="0.45">
      <c r="K427">
        <v>24146.691410186955</v>
      </c>
    </row>
    <row r="428" spans="11:11" x14ac:dyDescent="0.45">
      <c r="K428">
        <v>10703.383029362885</v>
      </c>
    </row>
    <row r="429" spans="11:11" x14ac:dyDescent="0.45">
      <c r="K429">
        <v>15076.883812744529</v>
      </c>
    </row>
    <row r="430" spans="11:11" x14ac:dyDescent="0.45">
      <c r="K430">
        <v>14823.735925106479</v>
      </c>
    </row>
    <row r="431" spans="11:11" x14ac:dyDescent="0.45">
      <c r="K431">
        <v>25554.844009506411</v>
      </c>
    </row>
    <row r="432" spans="11:11" x14ac:dyDescent="0.45">
      <c r="K432">
        <v>23420.758844610478</v>
      </c>
    </row>
    <row r="433" spans="11:11" x14ac:dyDescent="0.45">
      <c r="K433">
        <v>25020.131921156411</v>
      </c>
    </row>
    <row r="434" spans="11:11" x14ac:dyDescent="0.45">
      <c r="K434">
        <v>33157.583434096887</v>
      </c>
    </row>
    <row r="435" spans="11:11" x14ac:dyDescent="0.45">
      <c r="K435">
        <v>35169.721029553912</v>
      </c>
    </row>
    <row r="436" spans="11:11" x14ac:dyDescent="0.45">
      <c r="K436">
        <v>14569.498388367154</v>
      </c>
    </row>
    <row r="437" spans="11:11" x14ac:dyDescent="0.45">
      <c r="K437">
        <v>28436.292006253112</v>
      </c>
    </row>
    <row r="438" spans="11:11" x14ac:dyDescent="0.45">
      <c r="K438">
        <v>4668.3952426451215</v>
      </c>
    </row>
    <row r="439" spans="11:11" x14ac:dyDescent="0.45">
      <c r="K439">
        <v>27518.284642906983</v>
      </c>
    </row>
    <row r="440" spans="11:11" x14ac:dyDescent="0.45">
      <c r="K440">
        <v>33691.42222602338</v>
      </c>
    </row>
    <row r="441" spans="11:11" x14ac:dyDescent="0.45">
      <c r="K441">
        <v>33174.43463613397</v>
      </c>
    </row>
    <row r="442" spans="11:11" x14ac:dyDescent="0.45">
      <c r="K442">
        <v>18518.005880329445</v>
      </c>
    </row>
    <row r="443" spans="11:11" x14ac:dyDescent="0.45">
      <c r="K443">
        <v>29468.315996243589</v>
      </c>
    </row>
    <row r="444" spans="11:11" x14ac:dyDescent="0.45">
      <c r="K444">
        <v>15978.925605503577</v>
      </c>
    </row>
    <row r="445" spans="11:11" x14ac:dyDescent="0.45">
      <c r="K445">
        <v>9099.2503539589106</v>
      </c>
    </row>
    <row r="446" spans="11:11" x14ac:dyDescent="0.45">
      <c r="K446">
        <v>16090.569585296706</v>
      </c>
    </row>
    <row r="447" spans="11:11" x14ac:dyDescent="0.45">
      <c r="K447">
        <v>19599.021434430106</v>
      </c>
    </row>
    <row r="448" spans="11:11" x14ac:dyDescent="0.45">
      <c r="K448">
        <v>21320.019311753211</v>
      </c>
    </row>
    <row r="449" spans="11:11" x14ac:dyDescent="0.45">
      <c r="K449">
        <v>26041.304946076682</v>
      </c>
    </row>
    <row r="450" spans="11:11" x14ac:dyDescent="0.45">
      <c r="K450">
        <v>21433.734554392147</v>
      </c>
    </row>
    <row r="451" spans="11:11" x14ac:dyDescent="0.45">
      <c r="K451">
        <v>11179.773116832061</v>
      </c>
    </row>
    <row r="452" spans="11:11" x14ac:dyDescent="0.45">
      <c r="K452">
        <v>17931.374664339288</v>
      </c>
    </row>
    <row r="453" spans="11:11" x14ac:dyDescent="0.45">
      <c r="K453">
        <v>11445.085416449254</v>
      </c>
    </row>
    <row r="454" spans="11:11" x14ac:dyDescent="0.45">
      <c r="K454">
        <v>18846.537597562907</v>
      </c>
    </row>
    <row r="455" spans="11:11" x14ac:dyDescent="0.45">
      <c r="K455">
        <v>22882.545859945785</v>
      </c>
    </row>
    <row r="456" spans="11:11" x14ac:dyDescent="0.45">
      <c r="K456">
        <v>24990.596849617315</v>
      </c>
    </row>
    <row r="457" spans="11:11" x14ac:dyDescent="0.45">
      <c r="K457">
        <v>9557.7600113405406</v>
      </c>
    </row>
    <row r="458" spans="11:11" x14ac:dyDescent="0.45">
      <c r="K458">
        <v>19477.197400576475</v>
      </c>
    </row>
    <row r="459" spans="11:11" x14ac:dyDescent="0.45">
      <c r="K459">
        <v>20610.651170393641</v>
      </c>
    </row>
    <row r="460" spans="11:11" x14ac:dyDescent="0.45">
      <c r="K460">
        <v>13307.813451961767</v>
      </c>
    </row>
    <row r="461" spans="11:11" x14ac:dyDescent="0.45">
      <c r="K461">
        <v>16871.077811269475</v>
      </c>
    </row>
    <row r="462" spans="11:11" x14ac:dyDescent="0.45">
      <c r="K462">
        <v>8008.7867702872536</v>
      </c>
    </row>
    <row r="463" spans="11:11" x14ac:dyDescent="0.45">
      <c r="K463">
        <v>12520.812078171215</v>
      </c>
    </row>
    <row r="464" spans="11:11" x14ac:dyDescent="0.45">
      <c r="K464">
        <v>4609.9258592351507</v>
      </c>
    </row>
    <row r="465" spans="11:11" x14ac:dyDescent="0.45">
      <c r="K465">
        <v>8922.6236020560427</v>
      </c>
    </row>
    <row r="466" spans="11:11" x14ac:dyDescent="0.45">
      <c r="K466">
        <v>31161.37797753937</v>
      </c>
    </row>
    <row r="467" spans="11:11" x14ac:dyDescent="0.45">
      <c r="K467">
        <v>18408.063058944481</v>
      </c>
    </row>
    <row r="468" spans="11:11" x14ac:dyDescent="0.45">
      <c r="K468">
        <v>1814.9736608947405</v>
      </c>
    </row>
    <row r="469" spans="11:11" x14ac:dyDescent="0.45">
      <c r="K469">
        <v>14973.577867541568</v>
      </c>
    </row>
    <row r="470" spans="11:11" x14ac:dyDescent="0.45">
      <c r="K470">
        <v>25904.074598465093</v>
      </c>
    </row>
    <row r="471" spans="11:11" x14ac:dyDescent="0.45">
      <c r="K471">
        <v>22706.443654985895</v>
      </c>
    </row>
    <row r="472" spans="11:11" x14ac:dyDescent="0.45">
      <c r="K472">
        <v>11270.494976509228</v>
      </c>
    </row>
    <row r="473" spans="11:11" x14ac:dyDescent="0.45">
      <c r="K473">
        <v>0</v>
      </c>
    </row>
    <row r="474" spans="11:11" x14ac:dyDescent="0.45">
      <c r="K474">
        <v>16612.608951177808</v>
      </c>
    </row>
    <row r="475" spans="11:11" x14ac:dyDescent="0.45">
      <c r="K475">
        <v>10172.287631462386</v>
      </c>
    </row>
    <row r="476" spans="11:11" x14ac:dyDescent="0.45">
      <c r="K476">
        <v>19367.318140002804</v>
      </c>
    </row>
    <row r="477" spans="11:11" x14ac:dyDescent="0.45">
      <c r="K477">
        <v>28134.296119679413</v>
      </c>
    </row>
    <row r="478" spans="11:11" x14ac:dyDescent="0.45">
      <c r="K478">
        <v>17481.645365243228</v>
      </c>
    </row>
    <row r="479" spans="11:11" x14ac:dyDescent="0.45">
      <c r="K479">
        <v>30459.69523471834</v>
      </c>
    </row>
    <row r="480" spans="11:11" x14ac:dyDescent="0.45">
      <c r="K480">
        <v>15184.405409821453</v>
      </c>
    </row>
    <row r="481" spans="11:11" x14ac:dyDescent="0.45">
      <c r="K481">
        <v>28093.574748247887</v>
      </c>
    </row>
    <row r="482" spans="11:11" x14ac:dyDescent="0.45">
      <c r="K482">
        <v>22471.697111657013</v>
      </c>
    </row>
    <row r="483" spans="11:11" x14ac:dyDescent="0.45">
      <c r="K483">
        <v>22479.774634857589</v>
      </c>
    </row>
    <row r="484" spans="11:11" x14ac:dyDescent="0.45">
      <c r="K484">
        <v>5214.337117991332</v>
      </c>
    </row>
    <row r="485" spans="11:11" x14ac:dyDescent="0.45">
      <c r="K485">
        <v>16274.723837618902</v>
      </c>
    </row>
    <row r="486" spans="11:11" x14ac:dyDescent="0.45">
      <c r="K486">
        <v>22838.550179423917</v>
      </c>
    </row>
    <row r="487" spans="11:11" x14ac:dyDescent="0.45">
      <c r="K487">
        <v>9091.7795802228466</v>
      </c>
    </row>
    <row r="488" spans="11:11" x14ac:dyDescent="0.45">
      <c r="K488">
        <v>8129.9037286240646</v>
      </c>
    </row>
    <row r="489" spans="11:11" x14ac:dyDescent="0.45">
      <c r="K489">
        <v>8988.8516540899855</v>
      </c>
    </row>
    <row r="490" spans="11:11" x14ac:dyDescent="0.45">
      <c r="K490">
        <v>14363.003970403806</v>
      </c>
    </row>
    <row r="491" spans="11:11" x14ac:dyDescent="0.45">
      <c r="K491">
        <v>7722.4948114210347</v>
      </c>
    </row>
    <row r="492" spans="11:11" x14ac:dyDescent="0.45">
      <c r="K492">
        <v>14302.636581279203</v>
      </c>
    </row>
    <row r="493" spans="11:11" x14ac:dyDescent="0.45">
      <c r="K493">
        <v>19036.225578661986</v>
      </c>
    </row>
    <row r="494" spans="11:11" x14ac:dyDescent="0.45">
      <c r="K494">
        <v>16049.642880002881</v>
      </c>
    </row>
    <row r="495" spans="11:11" x14ac:dyDescent="0.45">
      <c r="K495">
        <v>9672.6061074773752</v>
      </c>
    </row>
    <row r="496" spans="11:11" x14ac:dyDescent="0.45">
      <c r="K496">
        <v>13824.354495847829</v>
      </c>
    </row>
    <row r="497" spans="11:11" x14ac:dyDescent="0.45">
      <c r="K497">
        <v>10066.007304251449</v>
      </c>
    </row>
    <row r="498" spans="11:11" x14ac:dyDescent="0.45">
      <c r="K498">
        <v>1108.1780318384863</v>
      </c>
    </row>
    <row r="499" spans="11:11" x14ac:dyDescent="0.45">
      <c r="K499">
        <v>5111.5945397603609</v>
      </c>
    </row>
    <row r="500" spans="11:11" x14ac:dyDescent="0.45">
      <c r="K500">
        <v>10888.84168062943</v>
      </c>
    </row>
    <row r="501" spans="11:11" x14ac:dyDescent="0.45">
      <c r="K501">
        <v>4144.1992053876984</v>
      </c>
    </row>
    <row r="502" spans="11:11" x14ac:dyDescent="0.45">
      <c r="K502">
        <v>18724.660200394243</v>
      </c>
    </row>
    <row r="503" spans="11:11" x14ac:dyDescent="0.45">
      <c r="K503">
        <v>22694.137726832305</v>
      </c>
    </row>
    <row r="504" spans="11:11" x14ac:dyDescent="0.45">
      <c r="K504">
        <v>2278.8073199466598</v>
      </c>
    </row>
    <row r="505" spans="11:11" x14ac:dyDescent="0.45">
      <c r="K505">
        <v>6911.67230400687</v>
      </c>
    </row>
    <row r="506" spans="11:11" x14ac:dyDescent="0.45">
      <c r="K506">
        <v>19562.593075302211</v>
      </c>
    </row>
    <row r="507" spans="11:11" x14ac:dyDescent="0.45">
      <c r="K507">
        <v>9857.6098649596588</v>
      </c>
    </row>
    <row r="508" spans="11:11" x14ac:dyDescent="0.45">
      <c r="K508">
        <v>249.94505878657765</v>
      </c>
    </row>
    <row r="509" spans="11:11" x14ac:dyDescent="0.45">
      <c r="K509">
        <v>15545.279487378246</v>
      </c>
    </row>
    <row r="510" spans="11:11" x14ac:dyDescent="0.45">
      <c r="K510">
        <v>20519.916438428307</v>
      </c>
    </row>
    <row r="511" spans="11:11" x14ac:dyDescent="0.45">
      <c r="K511">
        <v>30795.085106971121</v>
      </c>
    </row>
    <row r="512" spans="11:11" x14ac:dyDescent="0.45">
      <c r="K512">
        <v>4051.9231595296078</v>
      </c>
    </row>
    <row r="513" spans="11:11" x14ac:dyDescent="0.45">
      <c r="K513">
        <v>5034.2867462334125</v>
      </c>
    </row>
    <row r="514" spans="11:11" x14ac:dyDescent="0.45">
      <c r="K514">
        <v>11760.145100773512</v>
      </c>
    </row>
    <row r="515" spans="11:11" x14ac:dyDescent="0.45">
      <c r="K515">
        <v>16917.958468215595</v>
      </c>
    </row>
    <row r="516" spans="11:11" x14ac:dyDescent="0.45">
      <c r="K516">
        <v>18975.285227699809</v>
      </c>
    </row>
    <row r="517" spans="11:11" x14ac:dyDescent="0.45">
      <c r="K517">
        <v>24789.372746656889</v>
      </c>
    </row>
    <row r="518" spans="11:11" x14ac:dyDescent="0.45">
      <c r="K518">
        <v>1682.2180854141334</v>
      </c>
    </row>
    <row r="519" spans="11:11" x14ac:dyDescent="0.45">
      <c r="K519">
        <v>0</v>
      </c>
    </row>
    <row r="520" spans="11:11" x14ac:dyDescent="0.45">
      <c r="K520">
        <v>5689.3302505730735</v>
      </c>
    </row>
    <row r="521" spans="11:11" x14ac:dyDescent="0.45">
      <c r="K521">
        <v>26957.854291180567</v>
      </c>
    </row>
    <row r="522" spans="11:11" x14ac:dyDescent="0.45">
      <c r="K522">
        <v>4657.6439799840155</v>
      </c>
    </row>
    <row r="523" spans="11:11" x14ac:dyDescent="0.45">
      <c r="K523">
        <v>12938.71373068524</v>
      </c>
    </row>
    <row r="524" spans="11:11" x14ac:dyDescent="0.45">
      <c r="K524">
        <v>6183.0115786370243</v>
      </c>
    </row>
    <row r="525" spans="11:11" x14ac:dyDescent="0.45">
      <c r="K525">
        <v>9882.46578768994</v>
      </c>
    </row>
    <row r="526" spans="11:11" x14ac:dyDescent="0.45">
      <c r="K526">
        <v>13214.63066827989</v>
      </c>
    </row>
    <row r="527" spans="11:11" x14ac:dyDescent="0.45">
      <c r="K527">
        <v>0</v>
      </c>
    </row>
    <row r="528" spans="11:11" x14ac:dyDescent="0.45">
      <c r="K528">
        <v>15388.839968121876</v>
      </c>
    </row>
    <row r="529" spans="11:11" x14ac:dyDescent="0.45">
      <c r="K529">
        <v>0</v>
      </c>
    </row>
    <row r="530" spans="11:11" x14ac:dyDescent="0.45">
      <c r="K530">
        <v>18873.58949848952</v>
      </c>
    </row>
    <row r="531" spans="11:11" x14ac:dyDescent="0.45">
      <c r="K531">
        <v>20166.306431990324</v>
      </c>
    </row>
    <row r="532" spans="11:11" x14ac:dyDescent="0.45">
      <c r="K532">
        <v>15639.345901796729</v>
      </c>
    </row>
    <row r="533" spans="11:11" x14ac:dyDescent="0.45">
      <c r="K533">
        <v>7201.6171373805628</v>
      </c>
    </row>
    <row r="534" spans="11:11" x14ac:dyDescent="0.45">
      <c r="K534">
        <v>23692.446585979422</v>
      </c>
    </row>
    <row r="535" spans="11:11" x14ac:dyDescent="0.45">
      <c r="K535">
        <v>12191.693305834051</v>
      </c>
    </row>
    <row r="536" spans="11:11" x14ac:dyDescent="0.45">
      <c r="K536">
        <v>13583.904571412795</v>
      </c>
    </row>
    <row r="537" spans="11:11" x14ac:dyDescent="0.45">
      <c r="K537">
        <v>4779.5637282859298</v>
      </c>
    </row>
    <row r="538" spans="11:11" x14ac:dyDescent="0.45">
      <c r="K538">
        <v>6408.340070737393</v>
      </c>
    </row>
    <row r="539" spans="11:11" x14ac:dyDescent="0.45">
      <c r="K539">
        <v>8133.6613803402224</v>
      </c>
    </row>
    <row r="540" spans="11:11" x14ac:dyDescent="0.45">
      <c r="K540">
        <v>17689.468218918075</v>
      </c>
    </row>
    <row r="541" spans="11:11" x14ac:dyDescent="0.45">
      <c r="K541">
        <v>14230.07349003653</v>
      </c>
    </row>
    <row r="542" spans="11:11" x14ac:dyDescent="0.45">
      <c r="K542">
        <v>5276.4288271232144</v>
      </c>
    </row>
    <row r="543" spans="11:11" x14ac:dyDescent="0.45">
      <c r="K543">
        <v>11795.896252608954</v>
      </c>
    </row>
    <row r="544" spans="11:11" x14ac:dyDescent="0.45">
      <c r="K544">
        <v>32326.605538937962</v>
      </c>
    </row>
    <row r="545" spans="11:11" x14ac:dyDescent="0.45">
      <c r="K545">
        <v>17818.819473506748</v>
      </c>
    </row>
    <row r="546" spans="11:11" x14ac:dyDescent="0.45">
      <c r="K546">
        <v>30836.817777534241</v>
      </c>
    </row>
    <row r="547" spans="11:11" x14ac:dyDescent="0.45">
      <c r="K547">
        <v>11817.47697639426</v>
      </c>
    </row>
    <row r="548" spans="11:11" x14ac:dyDescent="0.45">
      <c r="K548">
        <v>19092.811902720387</v>
      </c>
    </row>
    <row r="549" spans="11:11" x14ac:dyDescent="0.45">
      <c r="K549">
        <v>16953.621072588496</v>
      </c>
    </row>
    <row r="550" spans="11:11" x14ac:dyDescent="0.45">
      <c r="K550">
        <v>17333.655289867827</v>
      </c>
    </row>
    <row r="551" spans="11:11" x14ac:dyDescent="0.45">
      <c r="K551">
        <v>19253.394721781231</v>
      </c>
    </row>
    <row r="552" spans="11:11" x14ac:dyDescent="0.45">
      <c r="K552">
        <v>14415.118750215246</v>
      </c>
    </row>
    <row r="553" spans="11:11" x14ac:dyDescent="0.45">
      <c r="K553">
        <v>26795.738934434437</v>
      </c>
    </row>
    <row r="554" spans="11:11" x14ac:dyDescent="0.45">
      <c r="K554">
        <v>900.40732661390393</v>
      </c>
    </row>
    <row r="555" spans="11:11" x14ac:dyDescent="0.45">
      <c r="K555">
        <v>11508.441322713736</v>
      </c>
    </row>
    <row r="556" spans="11:11" x14ac:dyDescent="0.45">
      <c r="K556">
        <v>21343.894873046855</v>
      </c>
    </row>
    <row r="557" spans="11:11" x14ac:dyDescent="0.45">
      <c r="K557">
        <v>33122.454441471622</v>
      </c>
    </row>
    <row r="558" spans="11:11" x14ac:dyDescent="0.45">
      <c r="K558">
        <v>26139.559028354084</v>
      </c>
    </row>
    <row r="559" spans="11:11" x14ac:dyDescent="0.45">
      <c r="K559">
        <v>11431.613818516216</v>
      </c>
    </row>
    <row r="560" spans="11:11" x14ac:dyDescent="0.45">
      <c r="K560">
        <v>11182.185199097859</v>
      </c>
    </row>
    <row r="561" spans="11:11" x14ac:dyDescent="0.45">
      <c r="K561">
        <v>2508.1744861818661</v>
      </c>
    </row>
    <row r="562" spans="11:11" x14ac:dyDescent="0.45">
      <c r="K562">
        <v>13097.56835335578</v>
      </c>
    </row>
    <row r="563" spans="11:11" x14ac:dyDescent="0.45">
      <c r="K563">
        <v>10682.838174709061</v>
      </c>
    </row>
    <row r="564" spans="11:11" x14ac:dyDescent="0.45">
      <c r="K564">
        <v>11317.262456301265</v>
      </c>
    </row>
    <row r="565" spans="11:11" x14ac:dyDescent="0.45">
      <c r="K565">
        <v>23474.889384272697</v>
      </c>
    </row>
    <row r="566" spans="11:11" x14ac:dyDescent="0.45">
      <c r="K566">
        <v>14682.495865102672</v>
      </c>
    </row>
    <row r="567" spans="11:11" x14ac:dyDescent="0.45">
      <c r="K567">
        <v>12213.130808320891</v>
      </c>
    </row>
    <row r="568" spans="11:11" x14ac:dyDescent="0.45">
      <c r="K568">
        <v>20621.112777587001</v>
      </c>
    </row>
    <row r="569" spans="11:11" x14ac:dyDescent="0.45">
      <c r="K569">
        <v>3411.5110155888287</v>
      </c>
    </row>
    <row r="570" spans="11:11" x14ac:dyDescent="0.45">
      <c r="K570">
        <v>5245.5390111703455</v>
      </c>
    </row>
    <row r="571" spans="11:11" x14ac:dyDescent="0.45">
      <c r="K571">
        <v>7376.4381292081562</v>
      </c>
    </row>
    <row r="572" spans="11:11" x14ac:dyDescent="0.45">
      <c r="K572">
        <v>12477.299270781248</v>
      </c>
    </row>
    <row r="573" spans="11:11" x14ac:dyDescent="0.45">
      <c r="K573">
        <v>22077.2541591724</v>
      </c>
    </row>
    <row r="574" spans="11:11" x14ac:dyDescent="0.45">
      <c r="K574">
        <v>12933.570156698346</v>
      </c>
    </row>
    <row r="575" spans="11:11" x14ac:dyDescent="0.45">
      <c r="K575">
        <v>21279.357080438982</v>
      </c>
    </row>
    <row r="576" spans="11:11" x14ac:dyDescent="0.45">
      <c r="K576">
        <v>12377.054448232921</v>
      </c>
    </row>
    <row r="577" spans="11:11" x14ac:dyDescent="0.45">
      <c r="K577">
        <v>7676.3692523855025</v>
      </c>
    </row>
    <row r="578" spans="11:11" x14ac:dyDescent="0.45">
      <c r="K578">
        <v>11982.101052578586</v>
      </c>
    </row>
    <row r="579" spans="11:11" x14ac:dyDescent="0.45">
      <c r="K579">
        <v>23013.712302983611</v>
      </c>
    </row>
    <row r="580" spans="11:11" x14ac:dyDescent="0.45">
      <c r="K580">
        <v>10333.201689278383</v>
      </c>
    </row>
    <row r="581" spans="11:11" x14ac:dyDescent="0.45">
      <c r="K581">
        <v>23816.27999516813</v>
      </c>
    </row>
    <row r="582" spans="11:11" x14ac:dyDescent="0.45">
      <c r="K582">
        <v>21590.498872410295</v>
      </c>
    </row>
    <row r="583" spans="11:11" x14ac:dyDescent="0.45">
      <c r="K583">
        <v>10628.342524559317</v>
      </c>
    </row>
    <row r="584" spans="11:11" x14ac:dyDescent="0.45">
      <c r="K584">
        <v>20952.998296832244</v>
      </c>
    </row>
    <row r="585" spans="11:11" x14ac:dyDescent="0.45">
      <c r="K585">
        <v>26644.273640094376</v>
      </c>
    </row>
    <row r="586" spans="11:11" x14ac:dyDescent="0.45">
      <c r="K586">
        <v>15417.563852626627</v>
      </c>
    </row>
    <row r="587" spans="11:11" x14ac:dyDescent="0.45">
      <c r="K587">
        <v>33777.351957923966</v>
      </c>
    </row>
    <row r="588" spans="11:11" x14ac:dyDescent="0.45">
      <c r="K588">
        <v>25496.784238957167</v>
      </c>
    </row>
    <row r="589" spans="11:11" x14ac:dyDescent="0.45">
      <c r="K589">
        <v>14667.784770750961</v>
      </c>
    </row>
    <row r="590" spans="11:11" x14ac:dyDescent="0.45">
      <c r="K590">
        <v>13134.085045668957</v>
      </c>
    </row>
    <row r="591" spans="11:11" x14ac:dyDescent="0.45">
      <c r="K591">
        <v>13717.365744466515</v>
      </c>
    </row>
    <row r="592" spans="11:11" x14ac:dyDescent="0.45">
      <c r="K592">
        <v>11394.691475252866</v>
      </c>
    </row>
    <row r="593" spans="11:11" x14ac:dyDescent="0.45">
      <c r="K593">
        <v>19383.708155701835</v>
      </c>
    </row>
    <row r="594" spans="11:11" x14ac:dyDescent="0.45">
      <c r="K594">
        <v>24371.158321377105</v>
      </c>
    </row>
    <row r="595" spans="11:11" x14ac:dyDescent="0.45">
      <c r="K595">
        <v>21072.358650346359</v>
      </c>
    </row>
    <row r="596" spans="11:11" x14ac:dyDescent="0.45">
      <c r="K596">
        <v>14709.166258938214</v>
      </c>
    </row>
    <row r="597" spans="11:11" x14ac:dyDescent="0.45">
      <c r="K597">
        <v>17469.187370102281</v>
      </c>
    </row>
    <row r="598" spans="11:11" x14ac:dyDescent="0.45">
      <c r="K598">
        <v>9532.1217327936065</v>
      </c>
    </row>
    <row r="599" spans="11:11" x14ac:dyDescent="0.45">
      <c r="K599">
        <v>8501.8355648900433</v>
      </c>
    </row>
    <row r="600" spans="11:11" x14ac:dyDescent="0.45">
      <c r="K600">
        <v>15837.839344052187</v>
      </c>
    </row>
    <row r="601" spans="11:11" x14ac:dyDescent="0.45">
      <c r="K601">
        <v>18420.243588222998</v>
      </c>
    </row>
    <row r="602" spans="11:11" x14ac:dyDescent="0.45">
      <c r="K602">
        <v>20560.528071977489</v>
      </c>
    </row>
    <row r="603" spans="11:11" x14ac:dyDescent="0.45">
      <c r="K603">
        <v>14108.260103217248</v>
      </c>
    </row>
    <row r="604" spans="11:11" x14ac:dyDescent="0.45">
      <c r="K604">
        <v>17436.894463192089</v>
      </c>
    </row>
    <row r="605" spans="11:11" x14ac:dyDescent="0.45">
      <c r="K605">
        <v>11182.656095492326</v>
      </c>
    </row>
    <row r="606" spans="11:11" x14ac:dyDescent="0.45">
      <c r="K606">
        <v>18422.879461459066</v>
      </c>
    </row>
    <row r="607" spans="11:11" x14ac:dyDescent="0.45">
      <c r="K607">
        <v>10804.452367520315</v>
      </c>
    </row>
    <row r="608" spans="11:11" x14ac:dyDescent="0.45">
      <c r="K608">
        <v>17721.251990102868</v>
      </c>
    </row>
    <row r="609" spans="11:11" x14ac:dyDescent="0.45">
      <c r="K609">
        <v>16895.938863490152</v>
      </c>
    </row>
    <row r="610" spans="11:11" x14ac:dyDescent="0.45">
      <c r="K610">
        <v>25293.290078472797</v>
      </c>
    </row>
    <row r="611" spans="11:11" x14ac:dyDescent="0.45">
      <c r="K611">
        <v>6123.4387609193091</v>
      </c>
    </row>
    <row r="612" spans="11:11" x14ac:dyDescent="0.45">
      <c r="K612">
        <v>33903.084018222638</v>
      </c>
    </row>
    <row r="613" spans="11:11" x14ac:dyDescent="0.45">
      <c r="K613">
        <v>21544.859575040275</v>
      </c>
    </row>
    <row r="614" spans="11:11" x14ac:dyDescent="0.45">
      <c r="K614">
        <v>16442.122809027547</v>
      </c>
    </row>
    <row r="615" spans="11:11" x14ac:dyDescent="0.45">
      <c r="K615">
        <v>15838.013501211521</v>
      </c>
    </row>
    <row r="616" spans="11:11" x14ac:dyDescent="0.45">
      <c r="K616">
        <v>16242.515634292213</v>
      </c>
    </row>
    <row r="617" spans="11:11" x14ac:dyDescent="0.45">
      <c r="K617">
        <v>17271.577286988653</v>
      </c>
    </row>
    <row r="618" spans="11:11" x14ac:dyDescent="0.45">
      <c r="K618">
        <v>17027.581305881497</v>
      </c>
    </row>
    <row r="619" spans="11:11" x14ac:dyDescent="0.45">
      <c r="K619">
        <v>15437.614768270143</v>
      </c>
    </row>
    <row r="620" spans="11:11" x14ac:dyDescent="0.45">
      <c r="K620">
        <v>5148.4963172144635</v>
      </c>
    </row>
    <row r="621" spans="11:11" x14ac:dyDescent="0.45">
      <c r="K621">
        <v>21412.060452911745</v>
      </c>
    </row>
    <row r="622" spans="11:11" x14ac:dyDescent="0.45">
      <c r="K622">
        <v>24132.290727106352</v>
      </c>
    </row>
    <row r="623" spans="11:11" x14ac:dyDescent="0.45">
      <c r="K623">
        <v>12965.406710014293</v>
      </c>
    </row>
    <row r="624" spans="11:11" x14ac:dyDescent="0.45">
      <c r="K624">
        <v>14558.296862961857</v>
      </c>
    </row>
    <row r="625" spans="11:11" x14ac:dyDescent="0.45">
      <c r="K625">
        <v>19056.85007136776</v>
      </c>
    </row>
    <row r="626" spans="11:11" x14ac:dyDescent="0.45">
      <c r="K626">
        <v>27522.626685838863</v>
      </c>
    </row>
    <row r="627" spans="11:11" x14ac:dyDescent="0.45">
      <c r="K627">
        <v>10038.413214871332</v>
      </c>
    </row>
    <row r="628" spans="11:11" x14ac:dyDescent="0.45">
      <c r="K628">
        <v>20246.84803905246</v>
      </c>
    </row>
    <row r="629" spans="11:11" x14ac:dyDescent="0.45">
      <c r="K629">
        <v>19779.322371576869</v>
      </c>
    </row>
    <row r="630" spans="11:11" x14ac:dyDescent="0.45">
      <c r="K630">
        <v>36273.49579191627</v>
      </c>
    </row>
    <row r="631" spans="11:11" x14ac:dyDescent="0.45">
      <c r="K631">
        <v>28028.121501708836</v>
      </c>
    </row>
    <row r="632" spans="11:11" x14ac:dyDescent="0.45">
      <c r="K632">
        <v>10707.246916963915</v>
      </c>
    </row>
    <row r="633" spans="11:11" x14ac:dyDescent="0.45">
      <c r="K633">
        <v>15006.893278841897</v>
      </c>
    </row>
    <row r="634" spans="11:11" x14ac:dyDescent="0.45">
      <c r="K634">
        <v>25236.426482647235</v>
      </c>
    </row>
    <row r="635" spans="11:11" x14ac:dyDescent="0.45">
      <c r="K635">
        <v>15529.63077435384</v>
      </c>
    </row>
    <row r="636" spans="11:11" x14ac:dyDescent="0.45">
      <c r="K636">
        <v>23381.349798854622</v>
      </c>
    </row>
    <row r="637" spans="11:11" x14ac:dyDescent="0.45">
      <c r="K637">
        <v>13186.189067559513</v>
      </c>
    </row>
    <row r="638" spans="11:11" x14ac:dyDescent="0.45">
      <c r="K638">
        <v>18958.251092969665</v>
      </c>
    </row>
    <row r="639" spans="11:11" x14ac:dyDescent="0.45">
      <c r="K639">
        <v>17891.125839161825</v>
      </c>
    </row>
    <row r="640" spans="11:11" x14ac:dyDescent="0.45">
      <c r="K640">
        <v>16092.307392409748</v>
      </c>
    </row>
    <row r="641" spans="11:11" x14ac:dyDescent="0.45">
      <c r="K641">
        <v>17237.583248807681</v>
      </c>
    </row>
    <row r="642" spans="11:11" x14ac:dyDescent="0.45">
      <c r="K642">
        <v>3343.5883219387906</v>
      </c>
    </row>
    <row r="643" spans="11:11" x14ac:dyDescent="0.45">
      <c r="K643">
        <v>14120.885699265109</v>
      </c>
    </row>
    <row r="644" spans="11:11" x14ac:dyDescent="0.45">
      <c r="K644">
        <v>34190.704014970441</v>
      </c>
    </row>
    <row r="645" spans="11:11" x14ac:dyDescent="0.45">
      <c r="K645">
        <v>11499.201382558986</v>
      </c>
    </row>
    <row r="646" spans="11:11" x14ac:dyDescent="0.45">
      <c r="K646">
        <v>15701.11313350071</v>
      </c>
    </row>
    <row r="647" spans="11:11" x14ac:dyDescent="0.45">
      <c r="K647">
        <v>15981.683274866054</v>
      </c>
    </row>
    <row r="648" spans="11:11" x14ac:dyDescent="0.45">
      <c r="K648">
        <v>17052.600993891898</v>
      </c>
    </row>
    <row r="649" spans="11:11" x14ac:dyDescent="0.45">
      <c r="K649">
        <v>27549.342037089278</v>
      </c>
    </row>
    <row r="650" spans="11:11" x14ac:dyDescent="0.45">
      <c r="K650">
        <v>23664.617253306511</v>
      </c>
    </row>
    <row r="651" spans="11:11" x14ac:dyDescent="0.45">
      <c r="K651">
        <v>16513.065547008799</v>
      </c>
    </row>
    <row r="652" spans="11:11" x14ac:dyDescent="0.45">
      <c r="K652">
        <v>18969.344957631285</v>
      </c>
    </row>
    <row r="653" spans="11:11" x14ac:dyDescent="0.45">
      <c r="K653">
        <v>10528.367483020058</v>
      </c>
    </row>
    <row r="654" spans="11:11" x14ac:dyDescent="0.45">
      <c r="K654">
        <v>7362.6779982784137</v>
      </c>
    </row>
    <row r="655" spans="11:11" x14ac:dyDescent="0.45">
      <c r="K655">
        <v>11763.20216909581</v>
      </c>
    </row>
    <row r="656" spans="11:11" x14ac:dyDescent="0.45">
      <c r="K656">
        <v>21628.09595585434</v>
      </c>
    </row>
    <row r="657" spans="11:11" x14ac:dyDescent="0.45">
      <c r="K657">
        <v>4683.866251398751</v>
      </c>
    </row>
    <row r="658" spans="11:11" x14ac:dyDescent="0.45">
      <c r="K658">
        <v>16883.158237236374</v>
      </c>
    </row>
    <row r="659" spans="11:11" x14ac:dyDescent="0.45">
      <c r="K659">
        <v>11772.730918408775</v>
      </c>
    </row>
    <row r="660" spans="11:11" x14ac:dyDescent="0.45">
      <c r="K660">
        <v>21577.837155304569</v>
      </c>
    </row>
    <row r="661" spans="11:11" x14ac:dyDescent="0.45">
      <c r="K661">
        <v>9268.3302752901436</v>
      </c>
    </row>
    <row r="662" spans="11:11" x14ac:dyDescent="0.45">
      <c r="K662">
        <v>7661.4182210295003</v>
      </c>
    </row>
    <row r="663" spans="11:11" x14ac:dyDescent="0.45">
      <c r="K663">
        <v>10589.166268916473</v>
      </c>
    </row>
    <row r="664" spans="11:11" x14ac:dyDescent="0.45">
      <c r="K664">
        <v>3097.4677161604959</v>
      </c>
    </row>
    <row r="665" spans="11:11" x14ac:dyDescent="0.45">
      <c r="K665">
        <v>11147.365036406103</v>
      </c>
    </row>
    <row r="666" spans="11:11" x14ac:dyDescent="0.45">
      <c r="K666">
        <v>13765.419411984025</v>
      </c>
    </row>
    <row r="667" spans="11:11" x14ac:dyDescent="0.45">
      <c r="K667">
        <v>9083.1756709313868</v>
      </c>
    </row>
    <row r="668" spans="11:11" x14ac:dyDescent="0.45">
      <c r="K668">
        <v>19553.492203116159</v>
      </c>
    </row>
    <row r="669" spans="11:11" x14ac:dyDescent="0.45">
      <c r="K669">
        <v>25962.88389230863</v>
      </c>
    </row>
    <row r="670" spans="11:11" x14ac:dyDescent="0.45">
      <c r="K670">
        <v>10281.374437085266</v>
      </c>
    </row>
    <row r="671" spans="11:11" x14ac:dyDescent="0.45">
      <c r="K671">
        <v>6731.7549560501102</v>
      </c>
    </row>
    <row r="672" spans="11:11" x14ac:dyDescent="0.45">
      <c r="K672">
        <v>29520.42573367303</v>
      </c>
    </row>
    <row r="673" spans="11:11" x14ac:dyDescent="0.45">
      <c r="K673">
        <v>14929.542160671741</v>
      </c>
    </row>
    <row r="674" spans="11:11" x14ac:dyDescent="0.45">
      <c r="K674">
        <v>35241.331918736701</v>
      </c>
    </row>
    <row r="675" spans="11:11" x14ac:dyDescent="0.45">
      <c r="K675">
        <v>6785.7933556243406</v>
      </c>
    </row>
    <row r="676" spans="11:11" x14ac:dyDescent="0.45">
      <c r="K676">
        <v>21960.09857573342</v>
      </c>
    </row>
    <row r="677" spans="11:11" x14ac:dyDescent="0.45">
      <c r="K677">
        <v>17211.152419822858</v>
      </c>
    </row>
    <row r="678" spans="11:11" x14ac:dyDescent="0.45">
      <c r="K678">
        <v>31464.427180821258</v>
      </c>
    </row>
    <row r="679" spans="11:11" x14ac:dyDescent="0.45">
      <c r="K679">
        <v>15770.380556870719</v>
      </c>
    </row>
    <row r="680" spans="11:11" x14ac:dyDescent="0.45">
      <c r="K680">
        <v>27871.8604708196</v>
      </c>
    </row>
    <row r="681" spans="11:11" x14ac:dyDescent="0.45">
      <c r="K681">
        <v>17184.506746156007</v>
      </c>
    </row>
    <row r="682" spans="11:11" x14ac:dyDescent="0.45">
      <c r="K682">
        <v>15205.377528598903</v>
      </c>
    </row>
    <row r="683" spans="11:11" x14ac:dyDescent="0.45">
      <c r="K683">
        <v>5736.4173378510495</v>
      </c>
    </row>
    <row r="684" spans="11:11" x14ac:dyDescent="0.45">
      <c r="K684">
        <v>18636.49523797465</v>
      </c>
    </row>
    <row r="685" spans="11:11" x14ac:dyDescent="0.45">
      <c r="K685">
        <v>23125.9699523292</v>
      </c>
    </row>
    <row r="686" spans="11:11" x14ac:dyDescent="0.45">
      <c r="K686">
        <v>25635.113950084145</v>
      </c>
    </row>
    <row r="687" spans="11:11" x14ac:dyDescent="0.45">
      <c r="K687">
        <v>26924.356246867494</v>
      </c>
    </row>
    <row r="688" spans="11:11" x14ac:dyDescent="0.45">
      <c r="K688">
        <v>31698.219936397621</v>
      </c>
    </row>
    <row r="689" spans="11:11" x14ac:dyDescent="0.45">
      <c r="K689">
        <v>0</v>
      </c>
    </row>
    <row r="690" spans="11:11" x14ac:dyDescent="0.45">
      <c r="K690">
        <v>13859.644144505182</v>
      </c>
    </row>
    <row r="691" spans="11:11" x14ac:dyDescent="0.45">
      <c r="K691">
        <v>13631.486102707331</v>
      </c>
    </row>
    <row r="692" spans="11:11" x14ac:dyDescent="0.45">
      <c r="K692">
        <v>6065.3334059206754</v>
      </c>
    </row>
    <row r="693" spans="11:11" x14ac:dyDescent="0.45">
      <c r="K693">
        <v>25427.475491918292</v>
      </c>
    </row>
    <row r="694" spans="11:11" x14ac:dyDescent="0.45">
      <c r="K694">
        <v>26552.822204555298</v>
      </c>
    </row>
    <row r="695" spans="11:11" x14ac:dyDescent="0.45">
      <c r="K695">
        <v>2084.9962735084409</v>
      </c>
    </row>
    <row r="696" spans="11:11" x14ac:dyDescent="0.45">
      <c r="K696">
        <v>19732.678787252622</v>
      </c>
    </row>
    <row r="697" spans="11:11" x14ac:dyDescent="0.45">
      <c r="K697">
        <v>32317.387155835728</v>
      </c>
    </row>
    <row r="698" spans="11:11" x14ac:dyDescent="0.45">
      <c r="K698">
        <v>32728.024850950969</v>
      </c>
    </row>
    <row r="699" spans="11:11" x14ac:dyDescent="0.45">
      <c r="K699">
        <v>16217.912436689216</v>
      </c>
    </row>
    <row r="700" spans="11:11" x14ac:dyDescent="0.45">
      <c r="K700">
        <v>21106.975447722223</v>
      </c>
    </row>
    <row r="701" spans="11:11" x14ac:dyDescent="0.45">
      <c r="K701">
        <v>29705.058949061586</v>
      </c>
    </row>
    <row r="702" spans="11:11" x14ac:dyDescent="0.45">
      <c r="K702">
        <v>10464.69906304231</v>
      </c>
    </row>
    <row r="703" spans="11:11" x14ac:dyDescent="0.45">
      <c r="K703">
        <v>14937.906608348021</v>
      </c>
    </row>
    <row r="704" spans="11:11" x14ac:dyDescent="0.45">
      <c r="K704">
        <v>18266.544604456427</v>
      </c>
    </row>
    <row r="705" spans="11:11" x14ac:dyDescent="0.45">
      <c r="K705">
        <v>13148.799902516816</v>
      </c>
    </row>
    <row r="706" spans="11:11" x14ac:dyDescent="0.45">
      <c r="K706">
        <v>20646.423639358902</v>
      </c>
    </row>
    <row r="707" spans="11:11" x14ac:dyDescent="0.45">
      <c r="K707">
        <v>11909.770544742671</v>
      </c>
    </row>
    <row r="708" spans="11:11" x14ac:dyDescent="0.45">
      <c r="K708">
        <v>16822.886273885346</v>
      </c>
    </row>
    <row r="709" spans="11:11" x14ac:dyDescent="0.45">
      <c r="K709">
        <v>8875.0395254888754</v>
      </c>
    </row>
    <row r="710" spans="11:11" x14ac:dyDescent="0.45">
      <c r="K710">
        <v>26139.618339543646</v>
      </c>
    </row>
    <row r="711" spans="11:11" x14ac:dyDescent="0.45">
      <c r="K711">
        <v>22332.087672916747</v>
      </c>
    </row>
    <row r="712" spans="11:11" x14ac:dyDescent="0.45">
      <c r="K712">
        <v>24426.555574688475</v>
      </c>
    </row>
    <row r="713" spans="11:11" x14ac:dyDescent="0.45">
      <c r="K713">
        <v>18748.32518553087</v>
      </c>
    </row>
    <row r="714" spans="11:11" x14ac:dyDescent="0.45">
      <c r="K714">
        <v>20557.576918705447</v>
      </c>
    </row>
    <row r="715" spans="11:11" x14ac:dyDescent="0.45">
      <c r="K715">
        <v>13669.072920873135</v>
      </c>
    </row>
    <row r="716" spans="11:11" x14ac:dyDescent="0.45">
      <c r="K716">
        <v>12257.893339361921</v>
      </c>
    </row>
    <row r="717" spans="11:11" x14ac:dyDescent="0.45">
      <c r="K717">
        <v>6717.9218126650885</v>
      </c>
    </row>
    <row r="718" spans="11:11" x14ac:dyDescent="0.45">
      <c r="K718">
        <v>7187.3462627763074</v>
      </c>
    </row>
    <row r="719" spans="11:11" x14ac:dyDescent="0.45">
      <c r="K719">
        <v>8866.4734854040726</v>
      </c>
    </row>
    <row r="720" spans="11:11" x14ac:dyDescent="0.45">
      <c r="K720">
        <v>12562.545217033025</v>
      </c>
    </row>
    <row r="721" spans="11:11" x14ac:dyDescent="0.45">
      <c r="K721">
        <v>20442.469363793833</v>
      </c>
    </row>
    <row r="722" spans="11:11" x14ac:dyDescent="0.45">
      <c r="K722">
        <v>27992.726478086071</v>
      </c>
    </row>
    <row r="723" spans="11:11" x14ac:dyDescent="0.45">
      <c r="K723">
        <v>15227.923243629395</v>
      </c>
    </row>
    <row r="724" spans="11:11" x14ac:dyDescent="0.45">
      <c r="K724">
        <v>7687.6920272491679</v>
      </c>
    </row>
    <row r="725" spans="11:11" x14ac:dyDescent="0.45">
      <c r="K725">
        <v>9745.8507516313548</v>
      </c>
    </row>
    <row r="726" spans="11:11" x14ac:dyDescent="0.45">
      <c r="K726">
        <v>10287.865556788536</v>
      </c>
    </row>
    <row r="727" spans="11:11" x14ac:dyDescent="0.45">
      <c r="K727">
        <v>16437.304620943894</v>
      </c>
    </row>
    <row r="728" spans="11:11" x14ac:dyDescent="0.45">
      <c r="K728">
        <v>19975.201297251901</v>
      </c>
    </row>
    <row r="729" spans="11:11" x14ac:dyDescent="0.45">
      <c r="K729">
        <v>17733.863208640432</v>
      </c>
    </row>
    <row r="730" spans="11:11" x14ac:dyDescent="0.45">
      <c r="K730">
        <v>26983.635188168664</v>
      </c>
    </row>
    <row r="731" spans="11:11" x14ac:dyDescent="0.45">
      <c r="K731">
        <v>8437.0514047203287</v>
      </c>
    </row>
    <row r="732" spans="11:11" x14ac:dyDescent="0.45">
      <c r="K732">
        <v>10444.530606374625</v>
      </c>
    </row>
    <row r="733" spans="11:11" x14ac:dyDescent="0.45">
      <c r="K733">
        <v>24834.85399888501</v>
      </c>
    </row>
    <row r="734" spans="11:11" x14ac:dyDescent="0.45">
      <c r="K734">
        <v>26295.906199956869</v>
      </c>
    </row>
    <row r="735" spans="11:11" x14ac:dyDescent="0.45">
      <c r="K735">
        <v>14484.915366567478</v>
      </c>
    </row>
    <row r="736" spans="11:11" x14ac:dyDescent="0.45">
      <c r="K736">
        <v>23912.794081517924</v>
      </c>
    </row>
    <row r="737" spans="11:11" x14ac:dyDescent="0.45">
      <c r="K737">
        <v>8675.3417527676247</v>
      </c>
    </row>
    <row r="738" spans="11:11" x14ac:dyDescent="0.45">
      <c r="K738">
        <v>15809.405313457315</v>
      </c>
    </row>
    <row r="739" spans="11:11" x14ac:dyDescent="0.45">
      <c r="K739">
        <v>35301.94451541709</v>
      </c>
    </row>
    <row r="740" spans="11:11" x14ac:dyDescent="0.45">
      <c r="K740">
        <v>30133.861393679195</v>
      </c>
    </row>
    <row r="741" spans="11:11" x14ac:dyDescent="0.45">
      <c r="K741">
        <v>5100.3902575156098</v>
      </c>
    </row>
    <row r="742" spans="11:11" x14ac:dyDescent="0.45">
      <c r="K742">
        <v>25154.146003598751</v>
      </c>
    </row>
    <row r="743" spans="11:11" x14ac:dyDescent="0.45">
      <c r="K743">
        <v>6135.1060877470954</v>
      </c>
    </row>
    <row r="744" spans="11:11" x14ac:dyDescent="0.45">
      <c r="K744">
        <v>24021.717070967516</v>
      </c>
    </row>
    <row r="745" spans="11:11" x14ac:dyDescent="0.45">
      <c r="K745">
        <v>7795.7445713512207</v>
      </c>
    </row>
    <row r="746" spans="11:11" x14ac:dyDescent="0.45">
      <c r="K746">
        <v>8378.2721664420133</v>
      </c>
    </row>
    <row r="747" spans="11:11" x14ac:dyDescent="0.45">
      <c r="K747">
        <v>28295.521405414565</v>
      </c>
    </row>
    <row r="748" spans="11:11" x14ac:dyDescent="0.45">
      <c r="K748">
        <v>13758.815692436743</v>
      </c>
    </row>
    <row r="749" spans="11:11" x14ac:dyDescent="0.45">
      <c r="K749">
        <v>16288.233102264418</v>
      </c>
    </row>
    <row r="750" spans="11:11" x14ac:dyDescent="0.45">
      <c r="K750">
        <v>24527.440724119671</v>
      </c>
    </row>
    <row r="751" spans="11:11" x14ac:dyDescent="0.45">
      <c r="K751">
        <v>27172.987155848903</v>
      </c>
    </row>
    <row r="752" spans="11:11" x14ac:dyDescent="0.45">
      <c r="K752">
        <v>5675.3330402297815</v>
      </c>
    </row>
    <row r="753" spans="11:11" x14ac:dyDescent="0.45">
      <c r="K753">
        <v>30153.656602773401</v>
      </c>
    </row>
    <row r="754" spans="11:11" x14ac:dyDescent="0.45">
      <c r="K754">
        <v>4653.048534042031</v>
      </c>
    </row>
    <row r="755" spans="11:11" x14ac:dyDescent="0.45">
      <c r="K755">
        <v>15795.859435763174</v>
      </c>
    </row>
    <row r="756" spans="11:11" x14ac:dyDescent="0.45">
      <c r="K756">
        <v>19727.8836041496</v>
      </c>
    </row>
    <row r="757" spans="11:11" x14ac:dyDescent="0.45">
      <c r="K757">
        <v>16235.938932647159</v>
      </c>
    </row>
    <row r="758" spans="11:11" x14ac:dyDescent="0.45">
      <c r="K758">
        <v>25237.799905351385</v>
      </c>
    </row>
    <row r="759" spans="11:11" x14ac:dyDescent="0.45">
      <c r="K759">
        <v>28668.51003387673</v>
      </c>
    </row>
    <row r="760" spans="11:11" x14ac:dyDescent="0.45">
      <c r="K760">
        <v>15188.397968510249</v>
      </c>
    </row>
    <row r="761" spans="11:11" x14ac:dyDescent="0.45">
      <c r="K761">
        <v>22928.465770281618</v>
      </c>
    </row>
    <row r="762" spans="11:11" x14ac:dyDescent="0.45">
      <c r="K762">
        <v>22326.418108180238</v>
      </c>
    </row>
    <row r="763" spans="11:11" x14ac:dyDescent="0.45">
      <c r="K763">
        <v>28853.149232824551</v>
      </c>
    </row>
    <row r="764" spans="11:11" x14ac:dyDescent="0.45">
      <c r="K764">
        <v>23907.596076061574</v>
      </c>
    </row>
    <row r="765" spans="11:11" x14ac:dyDescent="0.45">
      <c r="K765">
        <v>12780.125154934489</v>
      </c>
    </row>
    <row r="766" spans="11:11" x14ac:dyDescent="0.45">
      <c r="K766">
        <v>30496.349432998642</v>
      </c>
    </row>
    <row r="767" spans="11:11" x14ac:dyDescent="0.45">
      <c r="K767">
        <v>11286.446551975914</v>
      </c>
    </row>
    <row r="768" spans="11:11" x14ac:dyDescent="0.45">
      <c r="K768">
        <v>15343.712774977179</v>
      </c>
    </row>
    <row r="769" spans="11:11" x14ac:dyDescent="0.45">
      <c r="K769">
        <v>12657.558522718693</v>
      </c>
    </row>
    <row r="770" spans="11:11" x14ac:dyDescent="0.45">
      <c r="K770">
        <v>565.0636969997995</v>
      </c>
    </row>
    <row r="771" spans="11:11" x14ac:dyDescent="0.45">
      <c r="K771">
        <v>22521.711646954314</v>
      </c>
    </row>
    <row r="772" spans="11:11" x14ac:dyDescent="0.45">
      <c r="K772">
        <v>4248.8982514645668</v>
      </c>
    </row>
    <row r="773" spans="11:11" x14ac:dyDescent="0.45">
      <c r="K773">
        <v>24896.772467212664</v>
      </c>
    </row>
    <row r="774" spans="11:11" x14ac:dyDescent="0.45">
      <c r="K774">
        <v>33038.523010015939</v>
      </c>
    </row>
    <row r="775" spans="11:11" x14ac:dyDescent="0.45">
      <c r="K775">
        <v>18488.988928941981</v>
      </c>
    </row>
    <row r="776" spans="11:11" x14ac:dyDescent="0.45">
      <c r="K776">
        <v>14874.905507487532</v>
      </c>
    </row>
    <row r="777" spans="11:11" x14ac:dyDescent="0.45">
      <c r="K777">
        <v>9185.8044309884208</v>
      </c>
    </row>
    <row r="778" spans="11:11" x14ac:dyDescent="0.45">
      <c r="K778">
        <v>24178.836165653003</v>
      </c>
    </row>
    <row r="779" spans="11:11" x14ac:dyDescent="0.45">
      <c r="K779">
        <v>10708.455270804498</v>
      </c>
    </row>
    <row r="780" spans="11:11" x14ac:dyDescent="0.45">
      <c r="K780">
        <v>15048.030963827619</v>
      </c>
    </row>
    <row r="781" spans="11:11" x14ac:dyDescent="0.45">
      <c r="K781">
        <v>23851.554745201061</v>
      </c>
    </row>
    <row r="782" spans="11:11" x14ac:dyDescent="0.45">
      <c r="K782">
        <v>12209.457234804249</v>
      </c>
    </row>
    <row r="783" spans="11:11" x14ac:dyDescent="0.45">
      <c r="K783">
        <v>25838.651175188053</v>
      </c>
    </row>
    <row r="784" spans="11:11" x14ac:dyDescent="0.45">
      <c r="K784">
        <v>3928.5295079285843</v>
      </c>
    </row>
    <row r="785" spans="11:11" x14ac:dyDescent="0.45">
      <c r="K785">
        <v>25098.149159120345</v>
      </c>
    </row>
    <row r="786" spans="11:11" x14ac:dyDescent="0.45">
      <c r="K786">
        <v>14225.943878874372</v>
      </c>
    </row>
    <row r="787" spans="11:11" x14ac:dyDescent="0.45">
      <c r="K787">
        <v>16914.085199739955</v>
      </c>
    </row>
    <row r="788" spans="11:11" x14ac:dyDescent="0.45">
      <c r="K788">
        <v>16769.611604215825</v>
      </c>
    </row>
    <row r="789" spans="11:11" x14ac:dyDescent="0.45">
      <c r="K789">
        <v>6582.6364138035424</v>
      </c>
    </row>
    <row r="790" spans="11:11" x14ac:dyDescent="0.45">
      <c r="K790">
        <v>13508.373058385416</v>
      </c>
    </row>
    <row r="791" spans="11:11" x14ac:dyDescent="0.45">
      <c r="K791">
        <v>12582.747083232935</v>
      </c>
    </row>
    <row r="792" spans="11:11" x14ac:dyDescent="0.45">
      <c r="K792">
        <v>28663.980436076497</v>
      </c>
    </row>
    <row r="793" spans="11:11" x14ac:dyDescent="0.45">
      <c r="K793">
        <v>12419.19388600031</v>
      </c>
    </row>
    <row r="794" spans="11:11" x14ac:dyDescent="0.45">
      <c r="K794">
        <v>18032.588234182662</v>
      </c>
    </row>
    <row r="795" spans="11:11" x14ac:dyDescent="0.45">
      <c r="K795">
        <v>18738.868055062656</v>
      </c>
    </row>
    <row r="796" spans="11:11" x14ac:dyDescent="0.45">
      <c r="K796">
        <v>16875.826306804662</v>
      </c>
    </row>
    <row r="797" spans="11:11" x14ac:dyDescent="0.45">
      <c r="K797">
        <v>12690.768709181189</v>
      </c>
    </row>
    <row r="798" spans="11:11" x14ac:dyDescent="0.45">
      <c r="K798">
        <v>19553.956149113154</v>
      </c>
    </row>
    <row r="799" spans="11:11" x14ac:dyDescent="0.45">
      <c r="K799">
        <v>23197.464792316634</v>
      </c>
    </row>
    <row r="800" spans="11:11" x14ac:dyDescent="0.45">
      <c r="K800">
        <v>15463.923713515071</v>
      </c>
    </row>
    <row r="801" spans="11:11" x14ac:dyDescent="0.45">
      <c r="K801">
        <v>8695.5634490013654</v>
      </c>
    </row>
    <row r="802" spans="11:11" x14ac:dyDescent="0.45">
      <c r="K802">
        <v>5583.5878923213459</v>
      </c>
    </row>
    <row r="803" spans="11:11" x14ac:dyDescent="0.45">
      <c r="K803">
        <v>22381.578823447071</v>
      </c>
    </row>
    <row r="804" spans="11:11" x14ac:dyDescent="0.45">
      <c r="K804">
        <v>17323.906076108775</v>
      </c>
    </row>
    <row r="805" spans="11:11" x14ac:dyDescent="0.45">
      <c r="K805">
        <v>8393.8965917693276</v>
      </c>
    </row>
    <row r="806" spans="11:11" x14ac:dyDescent="0.45">
      <c r="K806">
        <v>19746.623778736703</v>
      </c>
    </row>
    <row r="807" spans="11:11" x14ac:dyDescent="0.45">
      <c r="K807">
        <v>32342.25637925437</v>
      </c>
    </row>
    <row r="808" spans="11:11" x14ac:dyDescent="0.45">
      <c r="K808">
        <v>25488.742166977419</v>
      </c>
    </row>
    <row r="809" spans="11:11" x14ac:dyDescent="0.45">
      <c r="K809">
        <v>21116.982917660538</v>
      </c>
    </row>
    <row r="810" spans="11:11" x14ac:dyDescent="0.45">
      <c r="K810">
        <v>20265.957271992935</v>
      </c>
    </row>
    <row r="811" spans="11:11" x14ac:dyDescent="0.45">
      <c r="K811">
        <v>18361.595446552201</v>
      </c>
    </row>
    <row r="812" spans="11:11" x14ac:dyDescent="0.45">
      <c r="K812">
        <v>18717.688533219669</v>
      </c>
    </row>
    <row r="813" spans="11:11" x14ac:dyDescent="0.45">
      <c r="K813">
        <v>14537.667807370803</v>
      </c>
    </row>
    <row r="814" spans="11:11" x14ac:dyDescent="0.45">
      <c r="K814">
        <v>1465.2653206036175</v>
      </c>
    </row>
    <row r="815" spans="11:11" x14ac:dyDescent="0.45">
      <c r="K815">
        <v>14782.491339116894</v>
      </c>
    </row>
    <row r="816" spans="11:11" x14ac:dyDescent="0.45">
      <c r="K816">
        <v>1010.7926105731913</v>
      </c>
    </row>
    <row r="817" spans="11:11" x14ac:dyDescent="0.45">
      <c r="K817">
        <v>11934.342661089151</v>
      </c>
    </row>
    <row r="818" spans="11:11" x14ac:dyDescent="0.45">
      <c r="K818">
        <v>16354.816308440428</v>
      </c>
    </row>
    <row r="819" spans="11:11" x14ac:dyDescent="0.45">
      <c r="K819">
        <v>4849.4632986941979</v>
      </c>
    </row>
    <row r="820" spans="11:11" x14ac:dyDescent="0.45">
      <c r="K820">
        <v>23262.447815231335</v>
      </c>
    </row>
    <row r="821" spans="11:11" x14ac:dyDescent="0.45">
      <c r="K821">
        <v>19957.864915502454</v>
      </c>
    </row>
    <row r="822" spans="11:11" x14ac:dyDescent="0.45">
      <c r="K822">
        <v>20333.406567986582</v>
      </c>
    </row>
    <row r="823" spans="11:11" x14ac:dyDescent="0.45">
      <c r="K823">
        <v>13663.560454502751</v>
      </c>
    </row>
    <row r="824" spans="11:11" x14ac:dyDescent="0.45">
      <c r="K824">
        <v>24890.627376677028</v>
      </c>
    </row>
    <row r="825" spans="11:11" x14ac:dyDescent="0.45">
      <c r="K825">
        <v>31465.153551253534</v>
      </c>
    </row>
    <row r="826" spans="11:11" x14ac:dyDescent="0.45">
      <c r="K826">
        <v>21616.912957832024</v>
      </c>
    </row>
    <row r="827" spans="11:11" x14ac:dyDescent="0.45">
      <c r="K827">
        <v>35354.49137506738</v>
      </c>
    </row>
    <row r="828" spans="11:11" x14ac:dyDescent="0.45">
      <c r="K828">
        <v>20147.67922497735</v>
      </c>
    </row>
    <row r="829" spans="11:11" x14ac:dyDescent="0.45">
      <c r="K829">
        <v>3145.1397367220634</v>
      </c>
    </row>
    <row r="830" spans="11:11" x14ac:dyDescent="0.45">
      <c r="K830">
        <v>16975.08011857278</v>
      </c>
    </row>
    <row r="831" spans="11:11" x14ac:dyDescent="0.45">
      <c r="K831">
        <v>21604.892588207476</v>
      </c>
    </row>
    <row r="832" spans="11:11" x14ac:dyDescent="0.45">
      <c r="K832">
        <v>16793.630478967021</v>
      </c>
    </row>
    <row r="833" spans="11:11" x14ac:dyDescent="0.45">
      <c r="K833">
        <v>2365.5891387759566</v>
      </c>
    </row>
    <row r="834" spans="11:11" x14ac:dyDescent="0.45">
      <c r="K834">
        <v>25662.351741058261</v>
      </c>
    </row>
    <row r="835" spans="11:11" x14ac:dyDescent="0.45">
      <c r="K835">
        <v>17285.074717917996</v>
      </c>
    </row>
    <row r="836" spans="11:11" x14ac:dyDescent="0.45">
      <c r="K836">
        <v>11161.188785647224</v>
      </c>
    </row>
    <row r="837" spans="11:11" x14ac:dyDescent="0.45">
      <c r="K837">
        <v>22779.579073567365</v>
      </c>
    </row>
    <row r="838" spans="11:11" x14ac:dyDescent="0.45">
      <c r="K838">
        <v>31724.089435113579</v>
      </c>
    </row>
    <row r="839" spans="11:11" x14ac:dyDescent="0.45">
      <c r="K839">
        <v>24434.276728627916</v>
      </c>
    </row>
    <row r="840" spans="11:11" x14ac:dyDescent="0.45">
      <c r="K840">
        <v>20724.00192511117</v>
      </c>
    </row>
    <row r="841" spans="11:11" x14ac:dyDescent="0.45">
      <c r="K841">
        <v>26969.438322003585</v>
      </c>
    </row>
    <row r="842" spans="11:11" x14ac:dyDescent="0.45">
      <c r="K842">
        <v>19296.050763435785</v>
      </c>
    </row>
    <row r="843" spans="11:11" x14ac:dyDescent="0.45">
      <c r="K843">
        <v>12507.94935511875</v>
      </c>
    </row>
    <row r="844" spans="11:11" x14ac:dyDescent="0.45">
      <c r="K844">
        <v>90.358355391148507</v>
      </c>
    </row>
    <row r="845" spans="11:11" x14ac:dyDescent="0.45">
      <c r="K845">
        <v>19953.874138145064</v>
      </c>
    </row>
    <row r="846" spans="11:11" x14ac:dyDescent="0.45">
      <c r="K846">
        <v>8207.2106455052999</v>
      </c>
    </row>
    <row r="847" spans="11:11" x14ac:dyDescent="0.45">
      <c r="K847">
        <v>20882.452835047141</v>
      </c>
    </row>
    <row r="848" spans="11:11" x14ac:dyDescent="0.45">
      <c r="K848">
        <v>16558.803008008294</v>
      </c>
    </row>
    <row r="849" spans="11:11" x14ac:dyDescent="0.45">
      <c r="K849">
        <v>9820.3282034359127</v>
      </c>
    </row>
    <row r="850" spans="11:11" x14ac:dyDescent="0.45">
      <c r="K850">
        <v>0</v>
      </c>
    </row>
    <row r="851" spans="11:11" x14ac:dyDescent="0.45">
      <c r="K851">
        <v>6946.8057000675617</v>
      </c>
    </row>
    <row r="852" spans="11:11" x14ac:dyDescent="0.45">
      <c r="K852">
        <v>25616.329395225424</v>
      </c>
    </row>
    <row r="853" spans="11:11" x14ac:dyDescent="0.45">
      <c r="K853">
        <v>32467.773142935537</v>
      </c>
    </row>
    <row r="854" spans="11:11" x14ac:dyDescent="0.45">
      <c r="K854">
        <v>23898.713277572846</v>
      </c>
    </row>
    <row r="855" spans="11:11" x14ac:dyDescent="0.45">
      <c r="K855">
        <v>13733.580229883411</v>
      </c>
    </row>
    <row r="856" spans="11:11" x14ac:dyDescent="0.45">
      <c r="K856">
        <v>24552.751328216305</v>
      </c>
    </row>
    <row r="857" spans="11:11" x14ac:dyDescent="0.45">
      <c r="K857">
        <v>22697.829947284867</v>
      </c>
    </row>
    <row r="858" spans="11:11" x14ac:dyDescent="0.45">
      <c r="K858">
        <v>10527.010379111158</v>
      </c>
    </row>
    <row r="859" spans="11:11" x14ac:dyDescent="0.45">
      <c r="K859">
        <v>16675.302514404193</v>
      </c>
    </row>
    <row r="860" spans="11:11" x14ac:dyDescent="0.45">
      <c r="K860">
        <v>17358.914621258027</v>
      </c>
    </row>
    <row r="861" spans="11:11" x14ac:dyDescent="0.45">
      <c r="K861">
        <v>18791.422468378008</v>
      </c>
    </row>
    <row r="862" spans="11:11" x14ac:dyDescent="0.45">
      <c r="K862">
        <v>11534.286653606043</v>
      </c>
    </row>
    <row r="863" spans="11:11" x14ac:dyDescent="0.45">
      <c r="K863">
        <v>27262.211193739036</v>
      </c>
    </row>
    <row r="864" spans="11:11" x14ac:dyDescent="0.45">
      <c r="K864">
        <v>11195.106935195345</v>
      </c>
    </row>
    <row r="865" spans="11:11" x14ac:dyDescent="0.45">
      <c r="K865">
        <v>16137.164617634753</v>
      </c>
    </row>
    <row r="866" spans="11:11" x14ac:dyDescent="0.45">
      <c r="K866">
        <v>17732.043306381638</v>
      </c>
    </row>
    <row r="867" spans="11:11" x14ac:dyDescent="0.45">
      <c r="K867">
        <v>12298.608889557967</v>
      </c>
    </row>
    <row r="868" spans="11:11" x14ac:dyDescent="0.45">
      <c r="K868">
        <v>30572.490555828885</v>
      </c>
    </row>
    <row r="869" spans="11:11" x14ac:dyDescent="0.45">
      <c r="K869">
        <v>10992.793245261801</v>
      </c>
    </row>
    <row r="870" spans="11:11" x14ac:dyDescent="0.45">
      <c r="K870">
        <v>18187.817146565158</v>
      </c>
    </row>
    <row r="871" spans="11:11" x14ac:dyDescent="0.45">
      <c r="K871">
        <v>19309.019559083623</v>
      </c>
    </row>
    <row r="872" spans="11:11" x14ac:dyDescent="0.45">
      <c r="K872">
        <v>17817.364396351266</v>
      </c>
    </row>
    <row r="873" spans="11:11" x14ac:dyDescent="0.45">
      <c r="K873">
        <v>7006.3271950448961</v>
      </c>
    </row>
    <row r="874" spans="11:11" x14ac:dyDescent="0.45">
      <c r="K874">
        <v>15316.901730797097</v>
      </c>
    </row>
    <row r="875" spans="11:11" x14ac:dyDescent="0.45">
      <c r="K875">
        <v>15062.109552422493</v>
      </c>
    </row>
    <row r="876" spans="11:11" x14ac:dyDescent="0.45">
      <c r="K876">
        <v>8004.9235496411056</v>
      </c>
    </row>
    <row r="877" spans="11:11" x14ac:dyDescent="0.45">
      <c r="K877">
        <v>16624.557928961491</v>
      </c>
    </row>
    <row r="878" spans="11:11" x14ac:dyDescent="0.45">
      <c r="K878">
        <v>31499.694643498158</v>
      </c>
    </row>
    <row r="879" spans="11:11" x14ac:dyDescent="0.45">
      <c r="K879">
        <v>19068.401934594807</v>
      </c>
    </row>
    <row r="880" spans="11:11" x14ac:dyDescent="0.45">
      <c r="K880">
        <v>10577.574073881127</v>
      </c>
    </row>
    <row r="881" spans="11:11" x14ac:dyDescent="0.45">
      <c r="K881">
        <v>19291.435001386766</v>
      </c>
    </row>
    <row r="882" spans="11:11" x14ac:dyDescent="0.45">
      <c r="K882">
        <v>15660.014962084932</v>
      </c>
    </row>
    <row r="883" spans="11:11" x14ac:dyDescent="0.45">
      <c r="K883">
        <v>40195.834388080497</v>
      </c>
    </row>
    <row r="884" spans="11:11" x14ac:dyDescent="0.45">
      <c r="K884">
        <v>14840.389847202709</v>
      </c>
    </row>
    <row r="885" spans="11:11" x14ac:dyDescent="0.45">
      <c r="K885">
        <v>27492.93045926758</v>
      </c>
    </row>
    <row r="886" spans="11:11" x14ac:dyDescent="0.45">
      <c r="K886">
        <v>18062.102903603402</v>
      </c>
    </row>
    <row r="887" spans="11:11" x14ac:dyDescent="0.45">
      <c r="K887">
        <v>15750.980944954796</v>
      </c>
    </row>
    <row r="888" spans="11:11" x14ac:dyDescent="0.45">
      <c r="K888">
        <v>8650.9677583484136</v>
      </c>
    </row>
    <row r="889" spans="11:11" x14ac:dyDescent="0.45">
      <c r="K889">
        <v>19093.500033177406</v>
      </c>
    </row>
    <row r="890" spans="11:11" x14ac:dyDescent="0.45">
      <c r="K890">
        <v>10972.308234875249</v>
      </c>
    </row>
    <row r="891" spans="11:11" x14ac:dyDescent="0.45">
      <c r="K891">
        <v>5112.3867314226445</v>
      </c>
    </row>
    <row r="892" spans="11:11" x14ac:dyDescent="0.45">
      <c r="K892">
        <v>25751.331309475252</v>
      </c>
    </row>
    <row r="893" spans="11:11" x14ac:dyDescent="0.45">
      <c r="K893">
        <v>24639.098269847549</v>
      </c>
    </row>
    <row r="894" spans="11:11" x14ac:dyDescent="0.45">
      <c r="K894">
        <v>8671.9412546273561</v>
      </c>
    </row>
    <row r="895" spans="11:11" x14ac:dyDescent="0.45">
      <c r="K895">
        <v>24278.946979128767</v>
      </c>
    </row>
    <row r="896" spans="11:11" x14ac:dyDescent="0.45">
      <c r="K896">
        <v>23266.385495383896</v>
      </c>
    </row>
    <row r="897" spans="11:11" x14ac:dyDescent="0.45">
      <c r="K897">
        <v>20956.266444685145</v>
      </c>
    </row>
    <row r="898" spans="11:11" x14ac:dyDescent="0.45">
      <c r="K898">
        <v>17462.069254697897</v>
      </c>
    </row>
    <row r="899" spans="11:11" x14ac:dyDescent="0.45">
      <c r="K899">
        <v>14712.195882665294</v>
      </c>
    </row>
    <row r="900" spans="11:11" x14ac:dyDescent="0.45">
      <c r="K900">
        <v>0</v>
      </c>
    </row>
    <row r="901" spans="11:11" x14ac:dyDescent="0.45">
      <c r="K901">
        <v>6761.7958228198186</v>
      </c>
    </row>
    <row r="902" spans="11:11" x14ac:dyDescent="0.45">
      <c r="K902">
        <v>13619.079086775688</v>
      </c>
    </row>
    <row r="903" spans="11:11" x14ac:dyDescent="0.45">
      <c r="K903">
        <v>15933.676505119207</v>
      </c>
    </row>
    <row r="904" spans="11:11" x14ac:dyDescent="0.45">
      <c r="K904">
        <v>13918.686719539761</v>
      </c>
    </row>
    <row r="905" spans="11:11" x14ac:dyDescent="0.45">
      <c r="K905">
        <v>9138.1558505601806</v>
      </c>
    </row>
    <row r="906" spans="11:11" x14ac:dyDescent="0.45">
      <c r="K906">
        <v>23329.664094666496</v>
      </c>
    </row>
    <row r="907" spans="11:11" x14ac:dyDescent="0.45">
      <c r="K907">
        <v>21851.726968521161</v>
      </c>
    </row>
    <row r="908" spans="11:11" x14ac:dyDescent="0.45">
      <c r="K908">
        <v>5024.7939655864247</v>
      </c>
    </row>
    <row r="909" spans="11:11" x14ac:dyDescent="0.45">
      <c r="K909">
        <v>20711.067228116779</v>
      </c>
    </row>
    <row r="910" spans="11:11" x14ac:dyDescent="0.45">
      <c r="K910">
        <v>19421.67879473227</v>
      </c>
    </row>
    <row r="911" spans="11:11" x14ac:dyDescent="0.45">
      <c r="K911">
        <v>15377.773529925369</v>
      </c>
    </row>
    <row r="912" spans="11:11" x14ac:dyDescent="0.45">
      <c r="K912">
        <v>21397.881432073766</v>
      </c>
    </row>
    <row r="913" spans="11:11" x14ac:dyDescent="0.45">
      <c r="K913">
        <v>9418.2076444086597</v>
      </c>
    </row>
    <row r="914" spans="11:11" x14ac:dyDescent="0.45">
      <c r="K914">
        <v>16093.49253664911</v>
      </c>
    </row>
    <row r="915" spans="11:11" x14ac:dyDescent="0.45">
      <c r="K915">
        <v>31939.277890367659</v>
      </c>
    </row>
    <row r="916" spans="11:11" x14ac:dyDescent="0.45">
      <c r="K916">
        <v>33731.316206858755</v>
      </c>
    </row>
    <row r="917" spans="11:11" x14ac:dyDescent="0.45">
      <c r="K917">
        <v>18216.087048080441</v>
      </c>
    </row>
    <row r="918" spans="11:11" x14ac:dyDescent="0.45">
      <c r="K918">
        <v>10348.472580485923</v>
      </c>
    </row>
    <row r="919" spans="11:11" x14ac:dyDescent="0.45">
      <c r="K919">
        <v>11500.171140988157</v>
      </c>
    </row>
    <row r="920" spans="11:11" x14ac:dyDescent="0.45">
      <c r="K920">
        <v>19768.298311013412</v>
      </c>
    </row>
    <row r="921" spans="11:11" x14ac:dyDescent="0.45">
      <c r="K921">
        <v>22121.971078628249</v>
      </c>
    </row>
    <row r="922" spans="11:11" x14ac:dyDescent="0.45">
      <c r="K922">
        <v>30286.726060300316</v>
      </c>
    </row>
    <row r="923" spans="11:11" x14ac:dyDescent="0.45">
      <c r="K923">
        <v>13436.60720179381</v>
      </c>
    </row>
    <row r="924" spans="11:11" x14ac:dyDescent="0.45">
      <c r="K924">
        <v>8496.5254401345883</v>
      </c>
    </row>
    <row r="925" spans="11:11" x14ac:dyDescent="0.45">
      <c r="K925">
        <v>22385.693097910531</v>
      </c>
    </row>
    <row r="926" spans="11:11" x14ac:dyDescent="0.45">
      <c r="K926">
        <v>17570.755948609392</v>
      </c>
    </row>
    <row r="927" spans="11:11" x14ac:dyDescent="0.45">
      <c r="K927">
        <v>8976.8859690379832</v>
      </c>
    </row>
    <row r="928" spans="11:11" x14ac:dyDescent="0.45">
      <c r="K928">
        <v>12125.649968840082</v>
      </c>
    </row>
    <row r="929" spans="11:11" x14ac:dyDescent="0.45">
      <c r="K929">
        <v>2484.6576376939265</v>
      </c>
    </row>
    <row r="930" spans="11:11" x14ac:dyDescent="0.45">
      <c r="K930">
        <v>2878.8559037308642</v>
      </c>
    </row>
    <row r="931" spans="11:11" x14ac:dyDescent="0.45">
      <c r="K931">
        <v>25671.853507019507</v>
      </c>
    </row>
    <row r="932" spans="11:11" x14ac:dyDescent="0.45">
      <c r="K932">
        <v>21000.258226764956</v>
      </c>
    </row>
    <row r="933" spans="11:11" x14ac:dyDescent="0.45">
      <c r="K933">
        <v>12111.750968375207</v>
      </c>
    </row>
    <row r="934" spans="11:11" x14ac:dyDescent="0.45">
      <c r="K934">
        <v>14029.803883044742</v>
      </c>
    </row>
    <row r="935" spans="11:11" x14ac:dyDescent="0.45">
      <c r="K935">
        <v>0</v>
      </c>
    </row>
    <row r="936" spans="11:11" x14ac:dyDescent="0.45">
      <c r="K936">
        <v>4445.2568476235447</v>
      </c>
    </row>
    <row r="937" spans="11:11" x14ac:dyDescent="0.45">
      <c r="K937">
        <v>0</v>
      </c>
    </row>
    <row r="938" spans="11:11" x14ac:dyDescent="0.45">
      <c r="K938">
        <v>33116.350254323188</v>
      </c>
    </row>
    <row r="939" spans="11:11" x14ac:dyDescent="0.45">
      <c r="K939">
        <v>24977.879119908503</v>
      </c>
    </row>
    <row r="940" spans="11:11" x14ac:dyDescent="0.45">
      <c r="K940">
        <v>16748.377410013953</v>
      </c>
    </row>
    <row r="941" spans="11:11" x14ac:dyDescent="0.45">
      <c r="K941">
        <v>9134.5397327515111</v>
      </c>
    </row>
    <row r="942" spans="11:11" x14ac:dyDescent="0.45">
      <c r="K942">
        <v>5663.21518508808</v>
      </c>
    </row>
    <row r="943" spans="11:11" x14ac:dyDescent="0.45">
      <c r="K943">
        <v>21501.852279188814</v>
      </c>
    </row>
    <row r="944" spans="11:11" x14ac:dyDescent="0.45">
      <c r="K944">
        <v>9959.440917497388</v>
      </c>
    </row>
    <row r="945" spans="11:11" x14ac:dyDescent="0.45">
      <c r="K945">
        <v>31088.871200929796</v>
      </c>
    </row>
    <row r="946" spans="11:11" x14ac:dyDescent="0.45">
      <c r="K946">
        <v>24416.943624710282</v>
      </c>
    </row>
    <row r="947" spans="11:11" x14ac:dyDescent="0.45">
      <c r="K947">
        <v>16810.938303039871</v>
      </c>
    </row>
    <row r="948" spans="11:11" x14ac:dyDescent="0.45">
      <c r="K948">
        <v>21409.816632824906</v>
      </c>
    </row>
    <row r="949" spans="11:11" x14ac:dyDescent="0.45">
      <c r="K949">
        <v>14911.631308737209</v>
      </c>
    </row>
    <row r="950" spans="11:11" x14ac:dyDescent="0.45">
      <c r="K950">
        <v>13294.145927793348</v>
      </c>
    </row>
    <row r="951" spans="11:11" x14ac:dyDescent="0.45">
      <c r="K951">
        <v>23032.078959558134</v>
      </c>
    </row>
    <row r="952" spans="11:11" x14ac:dyDescent="0.45">
      <c r="K952">
        <v>10064.481469624698</v>
      </c>
    </row>
    <row r="953" spans="11:11" x14ac:dyDescent="0.45">
      <c r="K953">
        <v>10028.378577999385</v>
      </c>
    </row>
    <row r="954" spans="11:11" x14ac:dyDescent="0.45">
      <c r="K954">
        <v>19804.673525586644</v>
      </c>
    </row>
    <row r="955" spans="11:11" x14ac:dyDescent="0.45">
      <c r="K955">
        <v>21793.22047178966</v>
      </c>
    </row>
    <row r="956" spans="11:11" x14ac:dyDescent="0.45">
      <c r="K956">
        <v>5110.1436422097813</v>
      </c>
    </row>
    <row r="957" spans="11:11" x14ac:dyDescent="0.45">
      <c r="K957">
        <v>31033.277876286797</v>
      </c>
    </row>
    <row r="958" spans="11:11" x14ac:dyDescent="0.45">
      <c r="K958">
        <v>22160.897371241364</v>
      </c>
    </row>
    <row r="959" spans="11:11" x14ac:dyDescent="0.45">
      <c r="K959">
        <v>21568.258127815381</v>
      </c>
    </row>
    <row r="960" spans="11:11" x14ac:dyDescent="0.45">
      <c r="K960">
        <v>9007.2615257924917</v>
      </c>
    </row>
    <row r="961" spans="11:11" x14ac:dyDescent="0.45">
      <c r="K961">
        <v>28483.131001003523</v>
      </c>
    </row>
    <row r="962" spans="11:11" x14ac:dyDescent="0.45">
      <c r="K962">
        <v>22318.5272882727</v>
      </c>
    </row>
    <row r="963" spans="11:11" x14ac:dyDescent="0.45">
      <c r="K963">
        <v>21659.999355103308</v>
      </c>
    </row>
    <row r="964" spans="11:11" x14ac:dyDescent="0.45">
      <c r="K964">
        <v>25598.382609284276</v>
      </c>
    </row>
    <row r="965" spans="11:11" x14ac:dyDescent="0.45">
      <c r="K965">
        <v>10745.552234193063</v>
      </c>
    </row>
    <row r="966" spans="11:11" x14ac:dyDescent="0.45">
      <c r="K966">
        <v>7886.2275252933396</v>
      </c>
    </row>
    <row r="967" spans="11:11" x14ac:dyDescent="0.45">
      <c r="K967">
        <v>14476.791412485951</v>
      </c>
    </row>
    <row r="968" spans="11:11" x14ac:dyDescent="0.45">
      <c r="K968">
        <v>24440.207105247911</v>
      </c>
    </row>
    <row r="969" spans="11:11" x14ac:dyDescent="0.45">
      <c r="K969">
        <v>16307.768559066284</v>
      </c>
    </row>
    <row r="970" spans="11:11" x14ac:dyDescent="0.45">
      <c r="K970">
        <v>11309.929477778765</v>
      </c>
    </row>
    <row r="971" spans="11:11" x14ac:dyDescent="0.45">
      <c r="K971">
        <v>8925.279207425614</v>
      </c>
    </row>
    <row r="972" spans="11:11" x14ac:dyDescent="0.45">
      <c r="K972">
        <v>35354.392493858424</v>
      </c>
    </row>
    <row r="973" spans="11:11" x14ac:dyDescent="0.45">
      <c r="K973">
        <v>23502.94899830778</v>
      </c>
    </row>
    <row r="974" spans="11:11" x14ac:dyDescent="0.45">
      <c r="K974">
        <v>11973.202166764193</v>
      </c>
    </row>
    <row r="975" spans="11:11" x14ac:dyDescent="0.45">
      <c r="K975">
        <v>2252.6604892435225</v>
      </c>
    </row>
    <row r="976" spans="11:11" x14ac:dyDescent="0.45">
      <c r="K976">
        <v>18582.435302248909</v>
      </c>
    </row>
    <row r="977" spans="11:11" x14ac:dyDescent="0.45">
      <c r="K977">
        <v>20306.264498414639</v>
      </c>
    </row>
    <row r="978" spans="11:11" x14ac:dyDescent="0.45">
      <c r="K978">
        <v>20116.345729618126</v>
      </c>
    </row>
    <row r="979" spans="11:11" x14ac:dyDescent="0.45">
      <c r="K979">
        <v>28314.93379780883</v>
      </c>
    </row>
    <row r="980" spans="11:11" x14ac:dyDescent="0.45">
      <c r="K980">
        <v>25915.069435748876</v>
      </c>
    </row>
    <row r="981" spans="11:11" x14ac:dyDescent="0.45">
      <c r="K981">
        <v>16503.541593097463</v>
      </c>
    </row>
    <row r="982" spans="11:11" x14ac:dyDescent="0.45">
      <c r="K982">
        <v>6491.7761013191357</v>
      </c>
    </row>
    <row r="983" spans="11:11" x14ac:dyDescent="0.45">
      <c r="K983">
        <v>19616.058774568235</v>
      </c>
    </row>
    <row r="984" spans="11:11" x14ac:dyDescent="0.45">
      <c r="K984">
        <v>32261.513620000766</v>
      </c>
    </row>
    <row r="985" spans="11:11" x14ac:dyDescent="0.45">
      <c r="K985">
        <v>26262.761922281265</v>
      </c>
    </row>
    <row r="986" spans="11:11" x14ac:dyDescent="0.45">
      <c r="K986">
        <v>24016.085115850074</v>
      </c>
    </row>
    <row r="987" spans="11:11" x14ac:dyDescent="0.45">
      <c r="K987">
        <v>36362.917923013054</v>
      </c>
    </row>
    <row r="988" spans="11:11" x14ac:dyDescent="0.45">
      <c r="K988">
        <v>22147.615018786837</v>
      </c>
    </row>
    <row r="989" spans="11:11" x14ac:dyDescent="0.45">
      <c r="K989">
        <v>31182.313773003822</v>
      </c>
    </row>
    <row r="990" spans="11:11" x14ac:dyDescent="0.45">
      <c r="K990">
        <v>14639.438627506366</v>
      </c>
    </row>
    <row r="991" spans="11:11" x14ac:dyDescent="0.45">
      <c r="K991">
        <v>13085.43740570726</v>
      </c>
    </row>
    <row r="992" spans="11:11" x14ac:dyDescent="0.45">
      <c r="K992">
        <v>14628.673396820041</v>
      </c>
    </row>
    <row r="993" spans="11:11" x14ac:dyDescent="0.45">
      <c r="K993">
        <v>18197.857332277639</v>
      </c>
    </row>
    <row r="994" spans="11:11" x14ac:dyDescent="0.45">
      <c r="K994">
        <v>14034.090393773622</v>
      </c>
    </row>
    <row r="995" spans="11:11" x14ac:dyDescent="0.45">
      <c r="K995">
        <v>9213.643019094121</v>
      </c>
    </row>
    <row r="996" spans="11:11" x14ac:dyDescent="0.45">
      <c r="K996">
        <v>12429.460377252813</v>
      </c>
    </row>
    <row r="997" spans="11:11" x14ac:dyDescent="0.45">
      <c r="K997">
        <v>25368.012381922024</v>
      </c>
    </row>
    <row r="998" spans="11:11" x14ac:dyDescent="0.45">
      <c r="K998">
        <v>20611.600223904425</v>
      </c>
    </row>
    <row r="999" spans="11:11" x14ac:dyDescent="0.45">
      <c r="K999">
        <v>24332.933676819586</v>
      </c>
    </row>
    <row r="1000" spans="11:11" x14ac:dyDescent="0.45">
      <c r="K1000">
        <v>0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3488-970A-4FBA-AD99-E1EDBA21FAD8}">
  <sheetPr codeName="Sheet9"/>
  <dimension ref="A1:Q1000"/>
  <sheetViews>
    <sheetView workbookViewId="0"/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21139.655978057355</v>
      </c>
      <c r="M1" s="1">
        <f>AVERAGE(K1:K10000)</f>
        <v>13132.764122771441</v>
      </c>
    </row>
    <row r="2" spans="1:17" x14ac:dyDescent="0.45">
      <c r="C2" t="s">
        <v>0</v>
      </c>
      <c r="D2" t="s">
        <v>1</v>
      </c>
      <c r="K2">
        <v>18122.931991246802</v>
      </c>
      <c r="M2" s="1">
        <f>_xlfn.STDEV.S(K1:K10000)</f>
        <v>5979.299205843141</v>
      </c>
    </row>
    <row r="3" spans="1:17" x14ac:dyDescent="0.45">
      <c r="B3" t="s">
        <v>8</v>
      </c>
      <c r="C3" s="1">
        <v>13254</v>
      </c>
      <c r="D3" s="1">
        <v>6008</v>
      </c>
      <c r="H3">
        <v>16366.539110781334</v>
      </c>
      <c r="K3">
        <v>5579.4635714769665</v>
      </c>
      <c r="O3" s="3"/>
      <c r="P3" s="4"/>
      <c r="Q3" s="5"/>
    </row>
    <row r="4" spans="1:17" x14ac:dyDescent="0.45">
      <c r="H4">
        <v>3721.7354821098083</v>
      </c>
      <c r="K4">
        <v>11299.307615528251</v>
      </c>
      <c r="O4" s="6"/>
      <c r="P4" s="7"/>
      <c r="Q4" s="8"/>
    </row>
    <row r="5" spans="1:17" x14ac:dyDescent="0.45">
      <c r="B5" t="s">
        <v>2</v>
      </c>
      <c r="C5" s="1">
        <f ca="1">_xlfn.NORM.INV(RAND(),C3,D3)</f>
        <v>15044.339300271755</v>
      </c>
      <c r="K5">
        <v>14795.894617521071</v>
      </c>
      <c r="O5" s="6"/>
      <c r="P5" s="7"/>
      <c r="Q5" s="8"/>
    </row>
    <row r="6" spans="1:17" x14ac:dyDescent="0.45">
      <c r="K6">
        <v>14645.867318421726</v>
      </c>
      <c r="O6" s="6"/>
      <c r="P6" s="7"/>
      <c r="Q6" s="8"/>
    </row>
    <row r="7" spans="1:17" x14ac:dyDescent="0.45">
      <c r="E7" s="1">
        <f ca="1">_xlfn.NORM.INV(RAND(),$C$3,$D$3)</f>
        <v>5345.1271268302417</v>
      </c>
      <c r="F7" s="1">
        <f t="shared" ref="F7:I7" ca="1" si="0">_xlfn.NORM.INV(RAND(),$C$3,$D$3)</f>
        <v>23325.392942273706</v>
      </c>
      <c r="G7" s="1">
        <f t="shared" ca="1" si="0"/>
        <v>1020.4895518210233</v>
      </c>
      <c r="H7" s="1">
        <f t="shared" ca="1" si="0"/>
        <v>9614.1465705665014</v>
      </c>
      <c r="I7" s="1">
        <f t="shared" ca="1" si="0"/>
        <v>13113.296920327186</v>
      </c>
      <c r="K7">
        <v>11422.465493399293</v>
      </c>
      <c r="O7" s="6"/>
      <c r="P7" s="7"/>
      <c r="Q7" s="8"/>
    </row>
    <row r="8" spans="1:17" x14ac:dyDescent="0.45">
      <c r="B8" t="s">
        <v>3</v>
      </c>
      <c r="C8">
        <v>1000</v>
      </c>
      <c r="K8">
        <v>16424.554955838972</v>
      </c>
      <c r="O8" s="6"/>
      <c r="P8" s="7"/>
      <c r="Q8" s="8"/>
    </row>
    <row r="9" spans="1:17" x14ac:dyDescent="0.45">
      <c r="B9" t="s">
        <v>4</v>
      </c>
      <c r="C9">
        <v>1000</v>
      </c>
      <c r="K9">
        <v>15995.420894921554</v>
      </c>
      <c r="O9" s="6"/>
      <c r="P9" s="7"/>
      <c r="Q9" s="8"/>
    </row>
    <row r="10" spans="1:17" x14ac:dyDescent="0.45">
      <c r="B10" t="s">
        <v>6</v>
      </c>
      <c r="C10" s="1">
        <f>MAX(K:K)</f>
        <v>32059.895615331476</v>
      </c>
      <c r="K10">
        <v>13488.241859701171</v>
      </c>
      <c r="O10" s="6"/>
      <c r="P10" s="7"/>
      <c r="Q10" s="8"/>
    </row>
    <row r="11" spans="1:17" x14ac:dyDescent="0.45">
      <c r="B11" t="s">
        <v>5</v>
      </c>
      <c r="C11" s="1">
        <f>MIN(K:K)</f>
        <v>0</v>
      </c>
      <c r="E11" s="1">
        <f>ROUNDDOWN((C10-C11)/100,0)</f>
        <v>320</v>
      </c>
      <c r="K11">
        <v>7770.9892636576524</v>
      </c>
      <c r="O11" s="6"/>
      <c r="P11" s="7"/>
      <c r="Q11" s="8"/>
    </row>
    <row r="12" spans="1:17" x14ac:dyDescent="0.45">
      <c r="K12">
        <v>9316.5869091081222</v>
      </c>
      <c r="O12" s="6"/>
      <c r="P12" s="7"/>
      <c r="Q12" s="8"/>
    </row>
    <row r="13" spans="1:17" x14ac:dyDescent="0.45">
      <c r="A13" s="1">
        <f>ROUNDDOWN(C11,0)</f>
        <v>0</v>
      </c>
      <c r="B13">
        <f>COUNTIFS($K$1:$K$1000,"&gt;="&amp; A13,$K$1:$K$1000,"&lt;="&amp; A14)</f>
        <v>20</v>
      </c>
      <c r="C13" s="2"/>
      <c r="K13">
        <v>13678.988285476697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641.19791230662952</v>
      </c>
      <c r="B14">
        <f t="shared" ref="B14:B63" si="1">COUNTIFS($K$1:$K$1000,"&gt;="&amp; A14,$K$1:$K$1000,"&lt;="&amp; A15)</f>
        <v>5</v>
      </c>
      <c r="C14" s="2"/>
      <c r="K14">
        <v>23832.013014816032</v>
      </c>
      <c r="O14" s="6"/>
      <c r="P14" s="7"/>
      <c r="Q14" s="8"/>
    </row>
    <row r="15" spans="1:17" x14ac:dyDescent="0.45">
      <c r="A15" s="1">
        <f t="shared" ref="A15:A63" si="2">IF(A14+($C$10-$C$11)/50&lt;=$C$10,A14+($C$10-$C$11)/50,MAX(A14+($C$10-$C$11)/50,$C$10))</f>
        <v>1282.395824613259</v>
      </c>
      <c r="B15">
        <f t="shared" si="1"/>
        <v>2</v>
      </c>
      <c r="C15" s="2"/>
      <c r="K15">
        <v>4987.8810065280868</v>
      </c>
      <c r="O15" s="6"/>
      <c r="P15" s="7"/>
      <c r="Q15" s="8"/>
    </row>
    <row r="16" spans="1:17" x14ac:dyDescent="0.45">
      <c r="A16" s="1">
        <f t="shared" si="2"/>
        <v>1923.5937369198887</v>
      </c>
      <c r="B16">
        <f t="shared" si="1"/>
        <v>9</v>
      </c>
      <c r="C16" s="2"/>
      <c r="K16">
        <v>8094.2107710085629</v>
      </c>
      <c r="O16" s="6"/>
      <c r="P16" s="7"/>
      <c r="Q16" s="8"/>
    </row>
    <row r="17" spans="1:17" x14ac:dyDescent="0.45">
      <c r="A17" s="1">
        <f t="shared" si="2"/>
        <v>2564.7916492265181</v>
      </c>
      <c r="B17">
        <f t="shared" si="1"/>
        <v>13</v>
      </c>
      <c r="C17" s="2"/>
      <c r="K17">
        <v>17206.792112348085</v>
      </c>
      <c r="O17" s="6"/>
      <c r="P17" s="7"/>
      <c r="Q17" s="8"/>
    </row>
    <row r="18" spans="1:17" x14ac:dyDescent="0.45">
      <c r="A18" s="1">
        <f t="shared" si="2"/>
        <v>3205.9895615331475</v>
      </c>
      <c r="B18">
        <f t="shared" si="1"/>
        <v>11</v>
      </c>
      <c r="C18" s="2"/>
      <c r="K18">
        <v>19239.832584032272</v>
      </c>
      <c r="O18" s="6"/>
      <c r="P18" s="7"/>
      <c r="Q18" s="8"/>
    </row>
    <row r="19" spans="1:17" x14ac:dyDescent="0.45">
      <c r="A19" s="1">
        <f t="shared" si="2"/>
        <v>3847.1874738397769</v>
      </c>
      <c r="B19">
        <f t="shared" si="1"/>
        <v>13</v>
      </c>
      <c r="C19" s="2"/>
      <c r="K19">
        <v>5409.780095169891</v>
      </c>
      <c r="O19" s="6"/>
      <c r="P19" s="7"/>
      <c r="Q19" s="8"/>
    </row>
    <row r="20" spans="1:17" x14ac:dyDescent="0.45">
      <c r="A20" s="1">
        <f t="shared" si="2"/>
        <v>4488.3853861464067</v>
      </c>
      <c r="B20">
        <f t="shared" si="1"/>
        <v>17</v>
      </c>
      <c r="C20" s="2"/>
      <c r="K20">
        <v>21551.845955095308</v>
      </c>
      <c r="O20" s="9"/>
      <c r="P20" s="10"/>
      <c r="Q20" s="11"/>
    </row>
    <row r="21" spans="1:17" x14ac:dyDescent="0.45">
      <c r="A21" s="1">
        <f t="shared" si="2"/>
        <v>5129.5832984530362</v>
      </c>
      <c r="B21">
        <f t="shared" si="1"/>
        <v>20</v>
      </c>
      <c r="C21" s="2"/>
      <c r="K21">
        <v>12263.557242576248</v>
      </c>
    </row>
    <row r="22" spans="1:17" x14ac:dyDescent="0.45">
      <c r="A22" s="1">
        <f t="shared" si="2"/>
        <v>5770.7812107596656</v>
      </c>
      <c r="B22">
        <f t="shared" si="1"/>
        <v>19</v>
      </c>
      <c r="C22" s="2"/>
      <c r="K22">
        <v>11321.402451565467</v>
      </c>
    </row>
    <row r="23" spans="1:17" x14ac:dyDescent="0.45">
      <c r="A23" s="1">
        <f t="shared" si="2"/>
        <v>6411.979123066295</v>
      </c>
      <c r="B23">
        <f t="shared" si="1"/>
        <v>37</v>
      </c>
      <c r="C23" s="2"/>
      <c r="K23">
        <v>17736.578097755919</v>
      </c>
    </row>
    <row r="24" spans="1:17" x14ac:dyDescent="0.45">
      <c r="A24" s="1">
        <f t="shared" si="2"/>
        <v>7053.1770353729244</v>
      </c>
      <c r="B24">
        <f t="shared" si="1"/>
        <v>19</v>
      </c>
      <c r="C24" s="2"/>
      <c r="K24">
        <v>11395.766383190363</v>
      </c>
    </row>
    <row r="25" spans="1:17" x14ac:dyDescent="0.45">
      <c r="A25" s="1">
        <f t="shared" si="2"/>
        <v>7694.3749476795538</v>
      </c>
      <c r="B25">
        <f t="shared" si="1"/>
        <v>37</v>
      </c>
      <c r="C25" s="2"/>
      <c r="K25">
        <v>18818.509656343784</v>
      </c>
    </row>
    <row r="26" spans="1:17" x14ac:dyDescent="0.45">
      <c r="A26" s="1">
        <f t="shared" si="2"/>
        <v>8335.5728599861832</v>
      </c>
      <c r="B26">
        <f t="shared" si="1"/>
        <v>32</v>
      </c>
      <c r="C26" s="2"/>
      <c r="K26">
        <v>26285.47362542792</v>
      </c>
    </row>
    <row r="27" spans="1:17" x14ac:dyDescent="0.45">
      <c r="A27" s="1">
        <f t="shared" si="2"/>
        <v>8976.7707722928135</v>
      </c>
      <c r="B27">
        <f t="shared" si="1"/>
        <v>38</v>
      </c>
      <c r="C27" s="2"/>
      <c r="K27">
        <v>19769.897807700938</v>
      </c>
    </row>
    <row r="28" spans="1:17" x14ac:dyDescent="0.45">
      <c r="A28" s="1">
        <f t="shared" si="2"/>
        <v>9617.9686845994438</v>
      </c>
      <c r="B28">
        <f t="shared" si="1"/>
        <v>33</v>
      </c>
      <c r="C28" s="2"/>
      <c r="K28">
        <v>10226.129461410417</v>
      </c>
    </row>
    <row r="29" spans="1:17" x14ac:dyDescent="0.45">
      <c r="A29" s="1">
        <f t="shared" si="2"/>
        <v>10259.166596906074</v>
      </c>
      <c r="B29">
        <f t="shared" si="1"/>
        <v>34</v>
      </c>
      <c r="C29" s="2"/>
      <c r="K29">
        <v>6427.5324457433471</v>
      </c>
    </row>
    <row r="30" spans="1:17" x14ac:dyDescent="0.45">
      <c r="A30" s="1">
        <f t="shared" si="2"/>
        <v>10900.364509212704</v>
      </c>
      <c r="B30">
        <f t="shared" si="1"/>
        <v>37</v>
      </c>
      <c r="C30" s="2"/>
      <c r="K30">
        <v>17633.173822949033</v>
      </c>
    </row>
    <row r="31" spans="1:17" x14ac:dyDescent="0.45">
      <c r="A31" s="1">
        <f t="shared" si="2"/>
        <v>11541.562421519335</v>
      </c>
      <c r="B31">
        <f t="shared" si="1"/>
        <v>51</v>
      </c>
      <c r="C31" s="2"/>
      <c r="K31">
        <v>6358.2186418742604</v>
      </c>
    </row>
    <row r="32" spans="1:17" x14ac:dyDescent="0.45">
      <c r="A32" s="1">
        <f t="shared" si="2"/>
        <v>12182.760333825965</v>
      </c>
      <c r="B32">
        <f t="shared" si="1"/>
        <v>39</v>
      </c>
      <c r="C32" s="2"/>
      <c r="K32">
        <v>24320.539342549295</v>
      </c>
    </row>
    <row r="33" spans="1:11" x14ac:dyDescent="0.45">
      <c r="A33" s="1">
        <f t="shared" si="2"/>
        <v>12823.958246132595</v>
      </c>
      <c r="B33">
        <f t="shared" si="1"/>
        <v>36</v>
      </c>
      <c r="C33" s="2"/>
      <c r="K33">
        <v>21115.021760406409</v>
      </c>
    </row>
    <row r="34" spans="1:11" x14ac:dyDescent="0.45">
      <c r="A34" s="1">
        <f t="shared" si="2"/>
        <v>13465.156158439226</v>
      </c>
      <c r="B34">
        <f t="shared" si="1"/>
        <v>37</v>
      </c>
      <c r="C34" s="2"/>
      <c r="K34">
        <v>14415.281878143902</v>
      </c>
    </row>
    <row r="35" spans="1:11" x14ac:dyDescent="0.45">
      <c r="A35" s="1">
        <f t="shared" si="2"/>
        <v>14106.354070745856</v>
      </c>
      <c r="B35">
        <f t="shared" si="1"/>
        <v>41</v>
      </c>
      <c r="C35" s="2"/>
      <c r="K35">
        <v>15335.68005958544</v>
      </c>
    </row>
    <row r="36" spans="1:11" x14ac:dyDescent="0.45">
      <c r="A36" s="1">
        <f t="shared" si="2"/>
        <v>14747.551983052486</v>
      </c>
      <c r="B36">
        <f t="shared" si="1"/>
        <v>46</v>
      </c>
      <c r="C36" s="2"/>
      <c r="K36">
        <v>22953.237209894432</v>
      </c>
    </row>
    <row r="37" spans="1:11" x14ac:dyDescent="0.45">
      <c r="A37" s="1">
        <f t="shared" si="2"/>
        <v>15388.749895359117</v>
      </c>
      <c r="B37">
        <f t="shared" si="1"/>
        <v>38</v>
      </c>
      <c r="C37" s="2"/>
      <c r="K37">
        <v>18140.733449701158</v>
      </c>
    </row>
    <row r="38" spans="1:11" x14ac:dyDescent="0.45">
      <c r="A38" s="1">
        <f t="shared" si="2"/>
        <v>16029.947807665747</v>
      </c>
      <c r="B38">
        <f t="shared" si="1"/>
        <v>39</v>
      </c>
      <c r="C38" s="2"/>
      <c r="K38">
        <v>16439.769421410332</v>
      </c>
    </row>
    <row r="39" spans="1:11" x14ac:dyDescent="0.45">
      <c r="A39" s="1">
        <f t="shared" si="2"/>
        <v>16671.145719972377</v>
      </c>
      <c r="B39">
        <f t="shared" si="1"/>
        <v>42</v>
      </c>
      <c r="C39" s="2"/>
      <c r="K39">
        <v>17632.223401957752</v>
      </c>
    </row>
    <row r="40" spans="1:11" x14ac:dyDescent="0.45">
      <c r="A40" s="1">
        <f t="shared" si="2"/>
        <v>17312.343632279008</v>
      </c>
      <c r="B40">
        <f t="shared" si="1"/>
        <v>22</v>
      </c>
      <c r="C40" s="2"/>
      <c r="K40">
        <v>9713.8210565797108</v>
      </c>
    </row>
    <row r="41" spans="1:11" x14ac:dyDescent="0.45">
      <c r="A41" s="1">
        <f t="shared" si="2"/>
        <v>17953.541544585638</v>
      </c>
      <c r="B41">
        <f t="shared" si="1"/>
        <v>43</v>
      </c>
      <c r="C41" s="2"/>
      <c r="K41">
        <v>6932.5551756430859</v>
      </c>
    </row>
    <row r="42" spans="1:11" x14ac:dyDescent="0.45">
      <c r="A42" s="1">
        <f t="shared" si="2"/>
        <v>18594.739456892268</v>
      </c>
      <c r="B42">
        <f t="shared" si="1"/>
        <v>23</v>
      </c>
      <c r="C42" s="2"/>
      <c r="K42">
        <v>18523.134172799506</v>
      </c>
    </row>
    <row r="43" spans="1:11" x14ac:dyDescent="0.45">
      <c r="A43" s="1">
        <f t="shared" si="2"/>
        <v>19235.937369198899</v>
      </c>
      <c r="B43">
        <f t="shared" si="1"/>
        <v>18</v>
      </c>
      <c r="C43" s="2"/>
      <c r="K43">
        <v>21554.408556382547</v>
      </c>
    </row>
    <row r="44" spans="1:11" x14ac:dyDescent="0.45">
      <c r="A44" s="1">
        <f t="shared" si="2"/>
        <v>19877.135281505529</v>
      </c>
      <c r="B44">
        <f t="shared" si="1"/>
        <v>24</v>
      </c>
      <c r="C44" s="2"/>
      <c r="K44">
        <v>18285.783516891166</v>
      </c>
    </row>
    <row r="45" spans="1:11" x14ac:dyDescent="0.45">
      <c r="A45" s="1">
        <f t="shared" si="2"/>
        <v>20518.333193812159</v>
      </c>
      <c r="B45">
        <f t="shared" si="1"/>
        <v>20</v>
      </c>
      <c r="C45" s="2"/>
      <c r="K45">
        <v>10835.092644945413</v>
      </c>
    </row>
    <row r="46" spans="1:11" x14ac:dyDescent="0.45">
      <c r="A46" s="1">
        <f t="shared" si="2"/>
        <v>21159.531106118789</v>
      </c>
      <c r="B46">
        <f t="shared" si="1"/>
        <v>19</v>
      </c>
      <c r="C46" s="2"/>
      <c r="K46">
        <v>14524.706913343311</v>
      </c>
    </row>
    <row r="47" spans="1:11" x14ac:dyDescent="0.45">
      <c r="A47" s="1">
        <f t="shared" si="2"/>
        <v>21800.72901842542</v>
      </c>
      <c r="B47">
        <f t="shared" si="1"/>
        <v>11</v>
      </c>
      <c r="C47" s="2"/>
      <c r="K47">
        <v>16636.360513939086</v>
      </c>
    </row>
    <row r="48" spans="1:11" x14ac:dyDescent="0.45">
      <c r="A48" s="1">
        <f t="shared" si="2"/>
        <v>22441.92693073205</v>
      </c>
      <c r="B48">
        <f t="shared" si="1"/>
        <v>9</v>
      </c>
      <c r="C48" s="2"/>
      <c r="K48">
        <v>13277.719846664562</v>
      </c>
    </row>
    <row r="49" spans="1:11" x14ac:dyDescent="0.45">
      <c r="A49" s="1">
        <f t="shared" si="2"/>
        <v>23083.12484303868</v>
      </c>
      <c r="B49">
        <f t="shared" si="1"/>
        <v>6</v>
      </c>
      <c r="C49" s="2"/>
      <c r="K49">
        <v>11032.517023263117</v>
      </c>
    </row>
    <row r="50" spans="1:11" x14ac:dyDescent="0.45">
      <c r="A50" s="1">
        <f t="shared" si="2"/>
        <v>23724.322755345311</v>
      </c>
      <c r="B50">
        <f t="shared" si="1"/>
        <v>9</v>
      </c>
      <c r="C50" s="2"/>
      <c r="K50">
        <v>15926.147100827469</v>
      </c>
    </row>
    <row r="51" spans="1:11" x14ac:dyDescent="0.45">
      <c r="A51" s="1">
        <f t="shared" si="2"/>
        <v>24365.520667651941</v>
      </c>
      <c r="B51">
        <f t="shared" si="1"/>
        <v>6</v>
      </c>
      <c r="C51" s="2"/>
      <c r="K51">
        <v>11777.05686595366</v>
      </c>
    </row>
    <row r="52" spans="1:11" x14ac:dyDescent="0.45">
      <c r="A52" s="1">
        <f t="shared" si="2"/>
        <v>25006.718579958571</v>
      </c>
      <c r="B52">
        <f t="shared" si="1"/>
        <v>2</v>
      </c>
      <c r="C52" s="2"/>
      <c r="K52">
        <v>12455.86805323163</v>
      </c>
    </row>
    <row r="53" spans="1:11" x14ac:dyDescent="0.45">
      <c r="A53" s="1">
        <f t="shared" si="2"/>
        <v>25647.916492265202</v>
      </c>
      <c r="B53">
        <f t="shared" si="1"/>
        <v>6</v>
      </c>
      <c r="C53" s="2"/>
      <c r="K53">
        <v>12006.201898700934</v>
      </c>
    </row>
    <row r="54" spans="1:11" x14ac:dyDescent="0.45">
      <c r="A54" s="1">
        <f t="shared" si="2"/>
        <v>26289.114404571832</v>
      </c>
      <c r="B54">
        <f t="shared" si="1"/>
        <v>1</v>
      </c>
      <c r="C54" s="2"/>
      <c r="K54">
        <v>13173.988474066511</v>
      </c>
    </row>
    <row r="55" spans="1:11" x14ac:dyDescent="0.45">
      <c r="A55" s="1">
        <f t="shared" si="2"/>
        <v>26930.312316878462</v>
      </c>
      <c r="B55">
        <f t="shared" si="1"/>
        <v>3</v>
      </c>
      <c r="C55" s="2"/>
      <c r="K55">
        <v>9684.6124154771569</v>
      </c>
    </row>
    <row r="56" spans="1:11" x14ac:dyDescent="0.45">
      <c r="A56" s="1">
        <f t="shared" si="2"/>
        <v>27571.510229185093</v>
      </c>
      <c r="B56">
        <f t="shared" si="1"/>
        <v>3</v>
      </c>
      <c r="C56" s="2"/>
      <c r="K56">
        <v>11295.431509687873</v>
      </c>
    </row>
    <row r="57" spans="1:11" x14ac:dyDescent="0.45">
      <c r="A57" s="1">
        <f t="shared" si="2"/>
        <v>28212.708141491723</v>
      </c>
      <c r="B57">
        <f t="shared" si="1"/>
        <v>0</v>
      </c>
      <c r="C57" s="2"/>
      <c r="K57">
        <v>10450.778440645377</v>
      </c>
    </row>
    <row r="58" spans="1:11" x14ac:dyDescent="0.45">
      <c r="A58" s="1">
        <f t="shared" si="2"/>
        <v>28853.906053798353</v>
      </c>
      <c r="B58">
        <f t="shared" si="1"/>
        <v>2</v>
      </c>
      <c r="C58" s="2"/>
      <c r="K58">
        <v>8680.2356712214314</v>
      </c>
    </row>
    <row r="59" spans="1:11" x14ac:dyDescent="0.45">
      <c r="A59" s="1">
        <f t="shared" si="2"/>
        <v>29495.103966104984</v>
      </c>
      <c r="B59">
        <f t="shared" si="1"/>
        <v>3</v>
      </c>
      <c r="C59" s="2"/>
      <c r="K59">
        <v>12484.3366472615</v>
      </c>
    </row>
    <row r="60" spans="1:11" x14ac:dyDescent="0.45">
      <c r="A60" s="1">
        <f t="shared" si="2"/>
        <v>30136.301878411614</v>
      </c>
      <c r="B60">
        <f t="shared" si="1"/>
        <v>1</v>
      </c>
      <c r="C60" s="2"/>
      <c r="K60">
        <v>8141.9667737388399</v>
      </c>
    </row>
    <row r="61" spans="1:11" x14ac:dyDescent="0.45">
      <c r="A61" s="1">
        <f t="shared" si="2"/>
        <v>30777.499790718244</v>
      </c>
      <c r="B61">
        <f t="shared" si="1"/>
        <v>1</v>
      </c>
      <c r="C61" s="2"/>
      <c r="K61">
        <v>5337.0656279764144</v>
      </c>
    </row>
    <row r="62" spans="1:11" x14ac:dyDescent="0.45">
      <c r="A62" s="1">
        <f t="shared" si="2"/>
        <v>31418.697703024874</v>
      </c>
      <c r="B62">
        <f t="shared" si="1"/>
        <v>3</v>
      </c>
      <c r="C62" s="2"/>
      <c r="K62">
        <v>18067.419548177219</v>
      </c>
    </row>
    <row r="63" spans="1:11" x14ac:dyDescent="0.45">
      <c r="A63" s="1">
        <f t="shared" si="2"/>
        <v>32059.895615331505</v>
      </c>
      <c r="B63">
        <f t="shared" si="1"/>
        <v>0</v>
      </c>
      <c r="C63" s="2"/>
      <c r="K63">
        <v>17593.161572056808</v>
      </c>
    </row>
    <row r="64" spans="1:11" x14ac:dyDescent="0.45">
      <c r="C64" s="2"/>
      <c r="K64">
        <v>2130.8125068656645</v>
      </c>
    </row>
    <row r="65" spans="3:11" x14ac:dyDescent="0.45">
      <c r="C65" s="2"/>
      <c r="K65">
        <v>9957.7276830172414</v>
      </c>
    </row>
    <row r="66" spans="3:11" x14ac:dyDescent="0.45">
      <c r="C66" s="2"/>
      <c r="K66">
        <v>19682.595571111466</v>
      </c>
    </row>
    <row r="67" spans="3:11" x14ac:dyDescent="0.45">
      <c r="C67" s="2"/>
      <c r="K67">
        <v>20540.708709529823</v>
      </c>
    </row>
    <row r="68" spans="3:11" x14ac:dyDescent="0.45">
      <c r="C68" s="2"/>
      <c r="K68">
        <v>9688.5649350013609</v>
      </c>
    </row>
    <row r="69" spans="3:11" x14ac:dyDescent="0.45">
      <c r="C69" s="2"/>
      <c r="K69">
        <v>21341.101458746733</v>
      </c>
    </row>
    <row r="70" spans="3:11" x14ac:dyDescent="0.45">
      <c r="C70" s="2"/>
      <c r="K70">
        <v>9498.3577079671559</v>
      </c>
    </row>
    <row r="71" spans="3:11" x14ac:dyDescent="0.45">
      <c r="C71" s="2"/>
      <c r="K71">
        <v>15696.844255157075</v>
      </c>
    </row>
    <row r="72" spans="3:11" x14ac:dyDescent="0.45">
      <c r="C72" s="2"/>
      <c r="K72">
        <v>18357.29147162204</v>
      </c>
    </row>
    <row r="73" spans="3:11" x14ac:dyDescent="0.45">
      <c r="C73" s="2"/>
      <c r="K73">
        <v>12730.056490956833</v>
      </c>
    </row>
    <row r="74" spans="3:11" x14ac:dyDescent="0.45">
      <c r="C74" s="2"/>
      <c r="K74">
        <v>18976.692912557217</v>
      </c>
    </row>
    <row r="75" spans="3:11" x14ac:dyDescent="0.45">
      <c r="C75" s="2"/>
      <c r="K75">
        <v>13564.409223397086</v>
      </c>
    </row>
    <row r="76" spans="3:11" x14ac:dyDescent="0.45">
      <c r="C76" s="2"/>
      <c r="K76">
        <v>12975.657229459588</v>
      </c>
    </row>
    <row r="77" spans="3:11" x14ac:dyDescent="0.45">
      <c r="C77" s="2"/>
      <c r="K77">
        <v>17835.013160512233</v>
      </c>
    </row>
    <row r="78" spans="3:11" x14ac:dyDescent="0.45">
      <c r="C78" s="2"/>
      <c r="K78">
        <v>10664.695421119399</v>
      </c>
    </row>
    <row r="79" spans="3:11" x14ac:dyDescent="0.45">
      <c r="C79" s="2"/>
      <c r="K79">
        <v>3689.6518130998411</v>
      </c>
    </row>
    <row r="80" spans="3:11" x14ac:dyDescent="0.45">
      <c r="C80" s="2"/>
      <c r="K80">
        <v>8572.4281217078242</v>
      </c>
    </row>
    <row r="81" spans="3:11" x14ac:dyDescent="0.45">
      <c r="C81" s="2"/>
      <c r="K81">
        <v>9002.6832103369561</v>
      </c>
    </row>
    <row r="82" spans="3:11" x14ac:dyDescent="0.45">
      <c r="C82" s="2"/>
      <c r="K82">
        <v>16154.635441176037</v>
      </c>
    </row>
    <row r="83" spans="3:11" x14ac:dyDescent="0.45">
      <c r="C83" s="2"/>
      <c r="K83">
        <v>8456.724618755934</v>
      </c>
    </row>
    <row r="84" spans="3:11" x14ac:dyDescent="0.45">
      <c r="K84">
        <v>3347.6937859633454</v>
      </c>
    </row>
    <row r="85" spans="3:11" x14ac:dyDescent="0.45">
      <c r="K85">
        <v>6814.8127432390384</v>
      </c>
    </row>
    <row r="86" spans="3:11" x14ac:dyDescent="0.45">
      <c r="K86">
        <v>27076.548382855959</v>
      </c>
    </row>
    <row r="87" spans="3:11" x14ac:dyDescent="0.45">
      <c r="K87">
        <v>12482.453896647834</v>
      </c>
    </row>
    <row r="88" spans="3:11" x14ac:dyDescent="0.45">
      <c r="K88">
        <v>4298.8671606259431</v>
      </c>
    </row>
    <row r="89" spans="3:11" x14ac:dyDescent="0.45">
      <c r="K89">
        <v>13605.418831221874</v>
      </c>
    </row>
    <row r="90" spans="3:11" x14ac:dyDescent="0.45">
      <c r="K90">
        <v>11753.808609952093</v>
      </c>
    </row>
    <row r="91" spans="3:11" x14ac:dyDescent="0.45">
      <c r="K91">
        <v>5485.1616442945142</v>
      </c>
    </row>
    <row r="92" spans="3:11" x14ac:dyDescent="0.45">
      <c r="K92">
        <v>17156.788249054945</v>
      </c>
    </row>
    <row r="93" spans="3:11" x14ac:dyDescent="0.45">
      <c r="K93">
        <v>14769.724992141308</v>
      </c>
    </row>
    <row r="94" spans="3:11" x14ac:dyDescent="0.45">
      <c r="K94">
        <v>24418.488144014678</v>
      </c>
    </row>
    <row r="95" spans="3:11" x14ac:dyDescent="0.45">
      <c r="K95">
        <v>18603.129091163406</v>
      </c>
    </row>
    <row r="96" spans="3:11" x14ac:dyDescent="0.45">
      <c r="K96">
        <v>6077.1151391606609</v>
      </c>
    </row>
    <row r="97" spans="11:11" x14ac:dyDescent="0.45">
      <c r="K97">
        <v>16582.11514437454</v>
      </c>
    </row>
    <row r="98" spans="11:11" x14ac:dyDescent="0.45">
      <c r="K98">
        <v>8487.5098635929025</v>
      </c>
    </row>
    <row r="99" spans="11:11" x14ac:dyDescent="0.45">
      <c r="K99">
        <v>11201.483455121674</v>
      </c>
    </row>
    <row r="100" spans="11:11" x14ac:dyDescent="0.45">
      <c r="K100">
        <v>0</v>
      </c>
    </row>
    <row r="101" spans="11:11" x14ac:dyDescent="0.45">
      <c r="K101">
        <v>11983.749852270086</v>
      </c>
    </row>
    <row r="102" spans="11:11" x14ac:dyDescent="0.45">
      <c r="K102">
        <v>18043.400081988879</v>
      </c>
    </row>
    <row r="103" spans="11:11" x14ac:dyDescent="0.45">
      <c r="K103">
        <v>13099.634840445891</v>
      </c>
    </row>
    <row r="104" spans="11:11" x14ac:dyDescent="0.45">
      <c r="K104">
        <v>6576.9199644744558</v>
      </c>
    </row>
    <row r="105" spans="11:11" x14ac:dyDescent="0.45">
      <c r="K105">
        <v>16462.806501045929</v>
      </c>
    </row>
    <row r="106" spans="11:11" x14ac:dyDescent="0.45">
      <c r="K106">
        <v>11471.243992281241</v>
      </c>
    </row>
    <row r="107" spans="11:11" x14ac:dyDescent="0.45">
      <c r="K107">
        <v>6503.4620260645615</v>
      </c>
    </row>
    <row r="108" spans="11:11" x14ac:dyDescent="0.45">
      <c r="K108">
        <v>7818.1015372192842</v>
      </c>
    </row>
    <row r="109" spans="11:11" x14ac:dyDescent="0.45">
      <c r="K109">
        <v>15895.771564070421</v>
      </c>
    </row>
    <row r="110" spans="11:11" x14ac:dyDescent="0.45">
      <c r="K110">
        <v>17726.395507735164</v>
      </c>
    </row>
    <row r="111" spans="11:11" x14ac:dyDescent="0.45">
      <c r="K111">
        <v>11356.04706891065</v>
      </c>
    </row>
    <row r="112" spans="11:11" x14ac:dyDescent="0.45">
      <c r="K112">
        <v>2625.7823652850184</v>
      </c>
    </row>
    <row r="113" spans="2:11" x14ac:dyDescent="0.45">
      <c r="K113">
        <v>17000.23405853461</v>
      </c>
    </row>
    <row r="114" spans="2:11" x14ac:dyDescent="0.45">
      <c r="K114">
        <v>14138.372381401268</v>
      </c>
    </row>
    <row r="115" spans="2:11" x14ac:dyDescent="0.45">
      <c r="B115">
        <f>SUM(B13:B114)</f>
        <v>1000</v>
      </c>
      <c r="K115">
        <v>10554.130560842568</v>
      </c>
    </row>
    <row r="116" spans="2:11" x14ac:dyDescent="0.45">
      <c r="K116">
        <v>8502.7759057822805</v>
      </c>
    </row>
    <row r="117" spans="2:11" x14ac:dyDescent="0.45">
      <c r="K117">
        <v>20703.538710967503</v>
      </c>
    </row>
    <row r="118" spans="2:11" x14ac:dyDescent="0.45">
      <c r="K118">
        <v>18184.942311162624</v>
      </c>
    </row>
    <row r="119" spans="2:11" x14ac:dyDescent="0.45">
      <c r="K119">
        <v>23844.782904279778</v>
      </c>
    </row>
    <row r="120" spans="2:11" x14ac:dyDescent="0.45">
      <c r="K120">
        <v>8199.0418255062486</v>
      </c>
    </row>
    <row r="121" spans="2:11" x14ac:dyDescent="0.45">
      <c r="K121">
        <v>7962.4494117163558</v>
      </c>
    </row>
    <row r="122" spans="2:11" x14ac:dyDescent="0.45">
      <c r="K122">
        <v>8242.8900917367555</v>
      </c>
    </row>
    <row r="123" spans="2:11" x14ac:dyDescent="0.45">
      <c r="K123">
        <v>685.05269627446614</v>
      </c>
    </row>
    <row r="124" spans="2:11" x14ac:dyDescent="0.45">
      <c r="K124">
        <v>18723.091995795843</v>
      </c>
    </row>
    <row r="125" spans="2:11" x14ac:dyDescent="0.45">
      <c r="K125">
        <v>15736.037581131532</v>
      </c>
    </row>
    <row r="126" spans="2:11" x14ac:dyDescent="0.45">
      <c r="K126">
        <v>3676.1277254242086</v>
      </c>
    </row>
    <row r="127" spans="2:11" x14ac:dyDescent="0.45">
      <c r="K127">
        <v>15652.032709662437</v>
      </c>
    </row>
    <row r="128" spans="2:11" x14ac:dyDescent="0.45">
      <c r="K128">
        <v>6017.985862980574</v>
      </c>
    </row>
    <row r="129" spans="11:11" x14ac:dyDescent="0.45">
      <c r="K129">
        <v>8408.638990428979</v>
      </c>
    </row>
    <row r="130" spans="11:11" x14ac:dyDescent="0.45">
      <c r="K130">
        <v>11995.786493380427</v>
      </c>
    </row>
    <row r="131" spans="11:11" x14ac:dyDescent="0.45">
      <c r="K131">
        <v>13004.399612991836</v>
      </c>
    </row>
    <row r="132" spans="11:11" x14ac:dyDescent="0.45">
      <c r="K132">
        <v>6750.2036509803802</v>
      </c>
    </row>
    <row r="133" spans="11:11" x14ac:dyDescent="0.45">
      <c r="K133">
        <v>24442.166573659648</v>
      </c>
    </row>
    <row r="134" spans="11:11" x14ac:dyDescent="0.45">
      <c r="K134">
        <v>9454.0996379128374</v>
      </c>
    </row>
    <row r="135" spans="11:11" x14ac:dyDescent="0.45">
      <c r="K135">
        <v>8203.196088727087</v>
      </c>
    </row>
    <row r="136" spans="11:11" x14ac:dyDescent="0.45">
      <c r="K136">
        <v>9017.3303006787901</v>
      </c>
    </row>
    <row r="137" spans="11:11" x14ac:dyDescent="0.45">
      <c r="K137">
        <v>20516.851156675017</v>
      </c>
    </row>
    <row r="138" spans="11:11" x14ac:dyDescent="0.45">
      <c r="K138">
        <v>14972.840640885715</v>
      </c>
    </row>
    <row r="139" spans="11:11" x14ac:dyDescent="0.45">
      <c r="K139">
        <v>6634.8100049886871</v>
      </c>
    </row>
    <row r="140" spans="11:11" x14ac:dyDescent="0.45">
      <c r="K140">
        <v>16471.748374440285</v>
      </c>
    </row>
    <row r="141" spans="11:11" x14ac:dyDescent="0.45">
      <c r="K141">
        <v>11787.105235852421</v>
      </c>
    </row>
    <row r="142" spans="11:11" x14ac:dyDescent="0.45">
      <c r="K142">
        <v>16490.706925791488</v>
      </c>
    </row>
    <row r="143" spans="11:11" x14ac:dyDescent="0.45">
      <c r="K143">
        <v>12261.810718878956</v>
      </c>
    </row>
    <row r="144" spans="11:11" x14ac:dyDescent="0.45">
      <c r="K144">
        <v>9668.1419108485934</v>
      </c>
    </row>
    <row r="145" spans="11:11" x14ac:dyDescent="0.45">
      <c r="K145">
        <v>16254.905972564929</v>
      </c>
    </row>
    <row r="146" spans="11:11" x14ac:dyDescent="0.45">
      <c r="K146">
        <v>18189.061178988937</v>
      </c>
    </row>
    <row r="147" spans="11:11" x14ac:dyDescent="0.45">
      <c r="K147">
        <v>6437.7371734638682</v>
      </c>
    </row>
    <row r="148" spans="11:11" x14ac:dyDescent="0.45">
      <c r="K148">
        <v>8687.3597891674981</v>
      </c>
    </row>
    <row r="149" spans="11:11" x14ac:dyDescent="0.45">
      <c r="K149">
        <v>9573.3554740189775</v>
      </c>
    </row>
    <row r="150" spans="11:11" x14ac:dyDescent="0.45">
      <c r="K150">
        <v>12145.725007863795</v>
      </c>
    </row>
    <row r="151" spans="11:11" x14ac:dyDescent="0.45">
      <c r="K151">
        <v>11888.48448518262</v>
      </c>
    </row>
    <row r="152" spans="11:11" x14ac:dyDescent="0.45">
      <c r="K152">
        <v>11462.54601800724</v>
      </c>
    </row>
    <row r="153" spans="11:11" x14ac:dyDescent="0.45">
      <c r="K153">
        <v>15582.739724697089</v>
      </c>
    </row>
    <row r="154" spans="11:11" x14ac:dyDescent="0.45">
      <c r="K154">
        <v>11496.495055111878</v>
      </c>
    </row>
    <row r="155" spans="11:11" x14ac:dyDescent="0.45">
      <c r="K155">
        <v>25969.673016665329</v>
      </c>
    </row>
    <row r="156" spans="11:11" x14ac:dyDescent="0.45">
      <c r="K156">
        <v>9219.0307204793862</v>
      </c>
    </row>
    <row r="157" spans="11:11" x14ac:dyDescent="0.45">
      <c r="K157">
        <v>14096.524100793289</v>
      </c>
    </row>
    <row r="158" spans="11:11" x14ac:dyDescent="0.45">
      <c r="K158">
        <v>16888.462705270202</v>
      </c>
    </row>
    <row r="159" spans="11:11" x14ac:dyDescent="0.45">
      <c r="K159">
        <v>17205.752909274408</v>
      </c>
    </row>
    <row r="160" spans="11:11" x14ac:dyDescent="0.45">
      <c r="K160">
        <v>15283.126211766466</v>
      </c>
    </row>
    <row r="161" spans="11:11" x14ac:dyDescent="0.45">
      <c r="K161">
        <v>12709.256679421265</v>
      </c>
    </row>
    <row r="162" spans="11:11" x14ac:dyDescent="0.45">
      <c r="K162">
        <v>11335.473243773109</v>
      </c>
    </row>
    <row r="163" spans="11:11" x14ac:dyDescent="0.45">
      <c r="K163">
        <v>9246.5174541815359</v>
      </c>
    </row>
    <row r="164" spans="11:11" x14ac:dyDescent="0.45">
      <c r="K164">
        <v>10708.473404991855</v>
      </c>
    </row>
    <row r="165" spans="11:11" x14ac:dyDescent="0.45">
      <c r="K165">
        <v>0</v>
      </c>
    </row>
    <row r="166" spans="11:11" x14ac:dyDescent="0.45">
      <c r="K166">
        <v>15269.374835420076</v>
      </c>
    </row>
    <row r="167" spans="11:11" x14ac:dyDescent="0.45">
      <c r="K167">
        <v>19907.882446548603</v>
      </c>
    </row>
    <row r="168" spans="11:11" x14ac:dyDescent="0.45">
      <c r="K168">
        <v>7174.915602371977</v>
      </c>
    </row>
    <row r="169" spans="11:11" x14ac:dyDescent="0.45">
      <c r="K169">
        <v>14701.392023871187</v>
      </c>
    </row>
    <row r="170" spans="11:11" x14ac:dyDescent="0.45">
      <c r="K170">
        <v>6359.1986100638178</v>
      </c>
    </row>
    <row r="171" spans="11:11" x14ac:dyDescent="0.45">
      <c r="K171">
        <v>9681.5537353007057</v>
      </c>
    </row>
    <row r="172" spans="11:11" x14ac:dyDescent="0.45">
      <c r="K172">
        <v>23071.887853542645</v>
      </c>
    </row>
    <row r="173" spans="11:11" x14ac:dyDescent="0.45">
      <c r="K173">
        <v>11559.703275318283</v>
      </c>
    </row>
    <row r="174" spans="11:11" x14ac:dyDescent="0.45">
      <c r="K174">
        <v>17088.502558050353</v>
      </c>
    </row>
    <row r="175" spans="11:11" x14ac:dyDescent="0.45">
      <c r="K175">
        <v>15377.251894407404</v>
      </c>
    </row>
    <row r="176" spans="11:11" x14ac:dyDescent="0.45">
      <c r="K176">
        <v>16594.585084342045</v>
      </c>
    </row>
    <row r="177" spans="11:11" x14ac:dyDescent="0.45">
      <c r="K177">
        <v>12524.447405147004</v>
      </c>
    </row>
    <row r="178" spans="11:11" x14ac:dyDescent="0.45">
      <c r="K178">
        <v>15297.322964072655</v>
      </c>
    </row>
    <row r="179" spans="11:11" x14ac:dyDescent="0.45">
      <c r="K179">
        <v>14381.673789150485</v>
      </c>
    </row>
    <row r="180" spans="11:11" x14ac:dyDescent="0.45">
      <c r="K180">
        <v>7006.3980942859134</v>
      </c>
    </row>
    <row r="181" spans="11:11" x14ac:dyDescent="0.45">
      <c r="K181">
        <v>10769.123656744874</v>
      </c>
    </row>
    <row r="182" spans="11:11" x14ac:dyDescent="0.45">
      <c r="K182">
        <v>14934.695191329138</v>
      </c>
    </row>
    <row r="183" spans="11:11" x14ac:dyDescent="0.45">
      <c r="K183">
        <v>9895.5368737787448</v>
      </c>
    </row>
    <row r="184" spans="11:11" x14ac:dyDescent="0.45">
      <c r="K184">
        <v>19854.550777919794</v>
      </c>
    </row>
    <row r="185" spans="11:11" x14ac:dyDescent="0.45">
      <c r="K185">
        <v>17169.832886442397</v>
      </c>
    </row>
    <row r="186" spans="11:11" x14ac:dyDescent="0.45">
      <c r="K186">
        <v>3218.5435137228687</v>
      </c>
    </row>
    <row r="187" spans="11:11" x14ac:dyDescent="0.45">
      <c r="K187">
        <v>14888.483844139877</v>
      </c>
    </row>
    <row r="188" spans="11:11" x14ac:dyDescent="0.45">
      <c r="K188">
        <v>16610.595288438915</v>
      </c>
    </row>
    <row r="189" spans="11:11" x14ac:dyDescent="0.45">
      <c r="K189">
        <v>11660.363469112777</v>
      </c>
    </row>
    <row r="190" spans="11:11" x14ac:dyDescent="0.45">
      <c r="K190">
        <v>20574.035285482343</v>
      </c>
    </row>
    <row r="191" spans="11:11" x14ac:dyDescent="0.45">
      <c r="K191">
        <v>9473.5341167860661</v>
      </c>
    </row>
    <row r="192" spans="11:11" x14ac:dyDescent="0.45">
      <c r="K192">
        <v>15697.241261116971</v>
      </c>
    </row>
    <row r="193" spans="11:11" x14ac:dyDescent="0.45">
      <c r="K193">
        <v>14558.736206866619</v>
      </c>
    </row>
    <row r="194" spans="11:11" x14ac:dyDescent="0.45">
      <c r="K194">
        <v>13299.054548104563</v>
      </c>
    </row>
    <row r="195" spans="11:11" x14ac:dyDescent="0.45">
      <c r="K195">
        <v>15945.952873891527</v>
      </c>
    </row>
    <row r="196" spans="11:11" x14ac:dyDescent="0.45">
      <c r="K196">
        <v>9201.1918571596907</v>
      </c>
    </row>
    <row r="197" spans="11:11" x14ac:dyDescent="0.45">
      <c r="K197">
        <v>8789.6760051184247</v>
      </c>
    </row>
    <row r="198" spans="11:11" x14ac:dyDescent="0.45">
      <c r="K198">
        <v>18532.581961674641</v>
      </c>
    </row>
    <row r="199" spans="11:11" x14ac:dyDescent="0.45">
      <c r="K199">
        <v>11241.491913274163</v>
      </c>
    </row>
    <row r="200" spans="11:11" x14ac:dyDescent="0.45">
      <c r="K200">
        <v>19903.214119699202</v>
      </c>
    </row>
    <row r="201" spans="11:11" x14ac:dyDescent="0.45">
      <c r="K201">
        <v>8664.0501062989206</v>
      </c>
    </row>
    <row r="202" spans="11:11" x14ac:dyDescent="0.45">
      <c r="K202">
        <v>11761.141078958841</v>
      </c>
    </row>
    <row r="203" spans="11:11" x14ac:dyDescent="0.45">
      <c r="K203">
        <v>9180.5257062716464</v>
      </c>
    </row>
    <row r="204" spans="11:11" x14ac:dyDescent="0.45">
      <c r="K204">
        <v>4750.9181506817131</v>
      </c>
    </row>
    <row r="205" spans="11:11" x14ac:dyDescent="0.45">
      <c r="K205">
        <v>17367.770483118085</v>
      </c>
    </row>
    <row r="206" spans="11:11" x14ac:dyDescent="0.45">
      <c r="K206">
        <v>13709.527503269979</v>
      </c>
    </row>
    <row r="207" spans="11:11" x14ac:dyDescent="0.45">
      <c r="K207">
        <v>10655.988101875824</v>
      </c>
    </row>
    <row r="208" spans="11:11" x14ac:dyDescent="0.45">
      <c r="K208">
        <v>4637.4949298189094</v>
      </c>
    </row>
    <row r="209" spans="11:11" x14ac:dyDescent="0.45">
      <c r="K209">
        <v>15192.591868318192</v>
      </c>
    </row>
    <row r="210" spans="11:11" x14ac:dyDescent="0.45">
      <c r="K210">
        <v>11835.829846998628</v>
      </c>
    </row>
    <row r="211" spans="11:11" x14ac:dyDescent="0.45">
      <c r="K211">
        <v>5901.1812094641873</v>
      </c>
    </row>
    <row r="212" spans="11:11" x14ac:dyDescent="0.45">
      <c r="K212">
        <v>12495.64939869453</v>
      </c>
    </row>
    <row r="213" spans="11:11" x14ac:dyDescent="0.45">
      <c r="K213">
        <v>10073.891740926003</v>
      </c>
    </row>
    <row r="214" spans="11:11" x14ac:dyDescent="0.45">
      <c r="K214">
        <v>21001.774172794783</v>
      </c>
    </row>
    <row r="215" spans="11:11" x14ac:dyDescent="0.45">
      <c r="K215">
        <v>11733.076870301289</v>
      </c>
    </row>
    <row r="216" spans="11:11" x14ac:dyDescent="0.45">
      <c r="K216">
        <v>23462.92785707043</v>
      </c>
    </row>
    <row r="217" spans="11:11" x14ac:dyDescent="0.45">
      <c r="K217">
        <v>4038.0523283485618</v>
      </c>
    </row>
    <row r="218" spans="11:11" x14ac:dyDescent="0.45">
      <c r="K218">
        <v>8141.3387152401601</v>
      </c>
    </row>
    <row r="219" spans="11:11" x14ac:dyDescent="0.45">
      <c r="K219">
        <v>13484.702390994038</v>
      </c>
    </row>
    <row r="220" spans="11:11" x14ac:dyDescent="0.45">
      <c r="K220">
        <v>8264.7659593269382</v>
      </c>
    </row>
    <row r="221" spans="11:11" x14ac:dyDescent="0.45">
      <c r="K221">
        <v>14401.219996507607</v>
      </c>
    </row>
    <row r="222" spans="11:11" x14ac:dyDescent="0.45">
      <c r="K222">
        <v>12973.91034596421</v>
      </c>
    </row>
    <row r="223" spans="11:11" x14ac:dyDescent="0.45">
      <c r="K223">
        <v>15678.778459073077</v>
      </c>
    </row>
    <row r="224" spans="11:11" x14ac:dyDescent="0.45">
      <c r="K224">
        <v>17207.958534837631</v>
      </c>
    </row>
    <row r="225" spans="11:11" x14ac:dyDescent="0.45">
      <c r="K225">
        <v>7297.2168246503334</v>
      </c>
    </row>
    <row r="226" spans="11:11" x14ac:dyDescent="0.45">
      <c r="K226">
        <v>10113.776044228132</v>
      </c>
    </row>
    <row r="227" spans="11:11" x14ac:dyDescent="0.45">
      <c r="K227">
        <v>20443.351346620053</v>
      </c>
    </row>
    <row r="228" spans="11:11" x14ac:dyDescent="0.45">
      <c r="K228">
        <v>20382.596664578497</v>
      </c>
    </row>
    <row r="229" spans="11:11" x14ac:dyDescent="0.45">
      <c r="K229">
        <v>6396.5801193553643</v>
      </c>
    </row>
    <row r="230" spans="11:11" x14ac:dyDescent="0.45">
      <c r="K230">
        <v>13252.919706442544</v>
      </c>
    </row>
    <row r="231" spans="11:11" x14ac:dyDescent="0.45">
      <c r="K231">
        <v>16663.384816241447</v>
      </c>
    </row>
    <row r="232" spans="11:11" x14ac:dyDescent="0.45">
      <c r="K232">
        <v>6673.6905343002827</v>
      </c>
    </row>
    <row r="233" spans="11:11" x14ac:dyDescent="0.45">
      <c r="K233">
        <v>13188.509370631084</v>
      </c>
    </row>
    <row r="234" spans="11:11" x14ac:dyDescent="0.45">
      <c r="K234">
        <v>25886.089994130918</v>
      </c>
    </row>
    <row r="235" spans="11:11" x14ac:dyDescent="0.45">
      <c r="K235">
        <v>21420.901356883965</v>
      </c>
    </row>
    <row r="236" spans="11:11" x14ac:dyDescent="0.45">
      <c r="K236">
        <v>4841.4697626363068</v>
      </c>
    </row>
    <row r="237" spans="11:11" x14ac:dyDescent="0.45">
      <c r="K237">
        <v>17394.416064149678</v>
      </c>
    </row>
    <row r="238" spans="11:11" x14ac:dyDescent="0.45">
      <c r="K238">
        <v>13067.601070188766</v>
      </c>
    </row>
    <row r="239" spans="11:11" x14ac:dyDescent="0.45">
      <c r="K239">
        <v>8739.9961562696335</v>
      </c>
    </row>
    <row r="240" spans="11:11" x14ac:dyDescent="0.45">
      <c r="K240">
        <v>4772.6898527274643</v>
      </c>
    </row>
    <row r="241" spans="11:11" x14ac:dyDescent="0.45">
      <c r="K241">
        <v>18496.18654249463</v>
      </c>
    </row>
    <row r="242" spans="11:11" x14ac:dyDescent="0.45">
      <c r="K242">
        <v>12172.391875874111</v>
      </c>
    </row>
    <row r="243" spans="11:11" x14ac:dyDescent="0.45">
      <c r="K243">
        <v>0</v>
      </c>
    </row>
    <row r="244" spans="11:11" x14ac:dyDescent="0.45">
      <c r="K244">
        <v>13032.468240255455</v>
      </c>
    </row>
    <row r="245" spans="11:11" x14ac:dyDescent="0.45">
      <c r="K245">
        <v>10119.383402376498</v>
      </c>
    </row>
    <row r="246" spans="11:11" x14ac:dyDescent="0.45">
      <c r="K246">
        <v>10193.643318865597</v>
      </c>
    </row>
    <row r="247" spans="11:11" x14ac:dyDescent="0.45">
      <c r="K247">
        <v>4486.5472042996644</v>
      </c>
    </row>
    <row r="248" spans="11:11" x14ac:dyDescent="0.45">
      <c r="K248">
        <v>20416.078083930151</v>
      </c>
    </row>
    <row r="249" spans="11:11" x14ac:dyDescent="0.45">
      <c r="K249">
        <v>12129.732171331934</v>
      </c>
    </row>
    <row r="250" spans="11:11" x14ac:dyDescent="0.45">
      <c r="K250">
        <v>7522.2116612118825</v>
      </c>
    </row>
    <row r="251" spans="11:11" x14ac:dyDescent="0.45">
      <c r="K251">
        <v>13204.28157083332</v>
      </c>
    </row>
    <row r="252" spans="11:11" x14ac:dyDescent="0.45">
      <c r="K252">
        <v>14898.520347893969</v>
      </c>
    </row>
    <row r="253" spans="11:11" x14ac:dyDescent="0.45">
      <c r="K253">
        <v>17212.27656042602</v>
      </c>
    </row>
    <row r="254" spans="11:11" x14ac:dyDescent="0.45">
      <c r="K254">
        <v>8731.598724607531</v>
      </c>
    </row>
    <row r="255" spans="11:11" x14ac:dyDescent="0.45">
      <c r="K255">
        <v>15575.039053938959</v>
      </c>
    </row>
    <row r="256" spans="11:11" x14ac:dyDescent="0.45">
      <c r="K256">
        <v>16207.123577830505</v>
      </c>
    </row>
    <row r="257" spans="11:11" x14ac:dyDescent="0.45">
      <c r="K257">
        <v>11266.369198579883</v>
      </c>
    </row>
    <row r="258" spans="11:11" x14ac:dyDescent="0.45">
      <c r="K258">
        <v>16114.249628722679</v>
      </c>
    </row>
    <row r="259" spans="11:11" x14ac:dyDescent="0.45">
      <c r="K259">
        <v>5429.6799332913442</v>
      </c>
    </row>
    <row r="260" spans="11:11" x14ac:dyDescent="0.45">
      <c r="K260">
        <v>13007.508462341113</v>
      </c>
    </row>
    <row r="261" spans="11:11" x14ac:dyDescent="0.45">
      <c r="K261">
        <v>18690.042591520749</v>
      </c>
    </row>
    <row r="262" spans="11:11" x14ac:dyDescent="0.45">
      <c r="K262">
        <v>7643.6940009104728</v>
      </c>
    </row>
    <row r="263" spans="11:11" x14ac:dyDescent="0.45">
      <c r="K263">
        <v>21180.22449140453</v>
      </c>
    </row>
    <row r="264" spans="11:11" x14ac:dyDescent="0.45">
      <c r="K264">
        <v>17935.648742930985</v>
      </c>
    </row>
    <row r="265" spans="11:11" x14ac:dyDescent="0.45">
      <c r="K265">
        <v>8914.6880021100333</v>
      </c>
    </row>
    <row r="266" spans="11:11" x14ac:dyDescent="0.45">
      <c r="K266">
        <v>7235.950370911386</v>
      </c>
    </row>
    <row r="267" spans="11:11" x14ac:dyDescent="0.45">
      <c r="K267">
        <v>11701.12621282928</v>
      </c>
    </row>
    <row r="268" spans="11:11" x14ac:dyDescent="0.45">
      <c r="K268">
        <v>23451.954900574674</v>
      </c>
    </row>
    <row r="269" spans="11:11" x14ac:dyDescent="0.45">
      <c r="K269">
        <v>8178.0622874784713</v>
      </c>
    </row>
    <row r="270" spans="11:11" x14ac:dyDescent="0.45">
      <c r="K270">
        <v>12200.998763908834</v>
      </c>
    </row>
    <row r="271" spans="11:11" x14ac:dyDescent="0.45">
      <c r="K271">
        <v>3252.4664364612272</v>
      </c>
    </row>
    <row r="272" spans="11:11" x14ac:dyDescent="0.45">
      <c r="K272">
        <v>5051.3864112607553</v>
      </c>
    </row>
    <row r="273" spans="11:11" x14ac:dyDescent="0.45">
      <c r="K273">
        <v>26365.515287315553</v>
      </c>
    </row>
    <row r="274" spans="11:11" x14ac:dyDescent="0.45">
      <c r="K274">
        <v>16553.538169583255</v>
      </c>
    </row>
    <row r="275" spans="11:11" x14ac:dyDescent="0.45">
      <c r="K275">
        <v>15276.254955443907</v>
      </c>
    </row>
    <row r="276" spans="11:11" x14ac:dyDescent="0.45">
      <c r="K276">
        <v>32059.895615331476</v>
      </c>
    </row>
    <row r="277" spans="11:11" x14ac:dyDescent="0.45">
      <c r="K277">
        <v>12153.001977726712</v>
      </c>
    </row>
    <row r="278" spans="11:11" x14ac:dyDescent="0.45">
      <c r="K278">
        <v>17280.124293520024</v>
      </c>
    </row>
    <row r="279" spans="11:11" x14ac:dyDescent="0.45">
      <c r="K279">
        <v>10192.199427408606</v>
      </c>
    </row>
    <row r="280" spans="11:11" x14ac:dyDescent="0.45">
      <c r="K280">
        <v>8302.8276512131706</v>
      </c>
    </row>
    <row r="281" spans="11:11" x14ac:dyDescent="0.45">
      <c r="K281">
        <v>6494.3729863207327</v>
      </c>
    </row>
    <row r="282" spans="11:11" x14ac:dyDescent="0.45">
      <c r="K282">
        <v>18876.701840694375</v>
      </c>
    </row>
    <row r="283" spans="11:11" x14ac:dyDescent="0.45">
      <c r="K283">
        <v>16220.729311747369</v>
      </c>
    </row>
    <row r="284" spans="11:11" x14ac:dyDescent="0.45">
      <c r="K284">
        <v>21208.660273408728</v>
      </c>
    </row>
    <row r="285" spans="11:11" x14ac:dyDescent="0.45">
      <c r="K285">
        <v>6822.3239874939009</v>
      </c>
    </row>
    <row r="286" spans="11:11" x14ac:dyDescent="0.45">
      <c r="K286">
        <v>5656.2385694366913</v>
      </c>
    </row>
    <row r="287" spans="11:11" x14ac:dyDescent="0.45">
      <c r="K287">
        <v>16624.723833102278</v>
      </c>
    </row>
    <row r="288" spans="11:11" x14ac:dyDescent="0.45">
      <c r="K288">
        <v>10300.600605604124</v>
      </c>
    </row>
    <row r="289" spans="11:11" x14ac:dyDescent="0.45">
      <c r="K289">
        <v>6491.9204789115429</v>
      </c>
    </row>
    <row r="290" spans="11:11" x14ac:dyDescent="0.45">
      <c r="K290">
        <v>16631.984171483837</v>
      </c>
    </row>
    <row r="291" spans="11:11" x14ac:dyDescent="0.45">
      <c r="K291">
        <v>16998.623252478414</v>
      </c>
    </row>
    <row r="292" spans="11:11" x14ac:dyDescent="0.45">
      <c r="K292">
        <v>18270.224529974817</v>
      </c>
    </row>
    <row r="293" spans="11:11" x14ac:dyDescent="0.45">
      <c r="K293">
        <v>9482.8927171309188</v>
      </c>
    </row>
    <row r="294" spans="11:11" x14ac:dyDescent="0.45">
      <c r="K294">
        <v>20724.814814723977</v>
      </c>
    </row>
    <row r="295" spans="11:11" x14ac:dyDescent="0.45">
      <c r="K295">
        <v>9748.0186212340504</v>
      </c>
    </row>
    <row r="296" spans="11:11" x14ac:dyDescent="0.45">
      <c r="K296">
        <v>15987.290369275717</v>
      </c>
    </row>
    <row r="297" spans="11:11" x14ac:dyDescent="0.45">
      <c r="K297">
        <v>10234.799419643099</v>
      </c>
    </row>
    <row r="298" spans="11:11" x14ac:dyDescent="0.45">
      <c r="K298">
        <v>18886.357308790328</v>
      </c>
    </row>
    <row r="299" spans="11:11" x14ac:dyDescent="0.45">
      <c r="K299">
        <v>18500.78738835494</v>
      </c>
    </row>
    <row r="300" spans="11:11" x14ac:dyDescent="0.45">
      <c r="K300">
        <v>14529.200626619933</v>
      </c>
    </row>
    <row r="301" spans="11:11" x14ac:dyDescent="0.45">
      <c r="K301">
        <v>21352.335417976959</v>
      </c>
    </row>
    <row r="302" spans="11:11" x14ac:dyDescent="0.45">
      <c r="K302">
        <v>3509.2625156509366</v>
      </c>
    </row>
    <row r="303" spans="11:11" x14ac:dyDescent="0.45">
      <c r="K303">
        <v>27549.273097493289</v>
      </c>
    </row>
    <row r="304" spans="11:11" x14ac:dyDescent="0.45">
      <c r="K304">
        <v>17052.452977241654</v>
      </c>
    </row>
    <row r="305" spans="11:11" x14ac:dyDescent="0.45">
      <c r="K305">
        <v>18205.952087282651</v>
      </c>
    </row>
    <row r="306" spans="11:11" x14ac:dyDescent="0.45">
      <c r="K306">
        <v>5379.384448452498</v>
      </c>
    </row>
    <row r="307" spans="11:11" x14ac:dyDescent="0.45">
      <c r="K307">
        <v>29713.836410730259</v>
      </c>
    </row>
    <row r="308" spans="11:11" x14ac:dyDescent="0.45">
      <c r="K308">
        <v>9244.641060288719</v>
      </c>
    </row>
    <row r="309" spans="11:11" x14ac:dyDescent="0.45">
      <c r="K309">
        <v>11994.050111794882</v>
      </c>
    </row>
    <row r="310" spans="11:11" x14ac:dyDescent="0.45">
      <c r="K310">
        <v>13503.230019114066</v>
      </c>
    </row>
    <row r="311" spans="11:11" x14ac:dyDescent="0.45">
      <c r="K311">
        <v>16546.969246363919</v>
      </c>
    </row>
    <row r="312" spans="11:11" x14ac:dyDescent="0.45">
      <c r="K312">
        <v>19376.819785841308</v>
      </c>
    </row>
    <row r="313" spans="11:11" x14ac:dyDescent="0.45">
      <c r="K313">
        <v>20704.106742711403</v>
      </c>
    </row>
    <row r="314" spans="11:11" x14ac:dyDescent="0.45">
      <c r="K314">
        <v>13771.740635656986</v>
      </c>
    </row>
    <row r="315" spans="11:11" x14ac:dyDescent="0.45">
      <c r="K315">
        <v>18882.245610093167</v>
      </c>
    </row>
    <row r="316" spans="11:11" x14ac:dyDescent="0.45">
      <c r="K316">
        <v>2693.8419375379362</v>
      </c>
    </row>
    <row r="317" spans="11:11" x14ac:dyDescent="0.45">
      <c r="K317">
        <v>2564.8385256726033</v>
      </c>
    </row>
    <row r="318" spans="11:11" x14ac:dyDescent="0.45">
      <c r="K318">
        <v>10940.722904528309</v>
      </c>
    </row>
    <row r="319" spans="11:11" x14ac:dyDescent="0.45">
      <c r="K319">
        <v>0</v>
      </c>
    </row>
    <row r="320" spans="11:11" x14ac:dyDescent="0.45">
      <c r="K320">
        <v>1203.9119560209092</v>
      </c>
    </row>
    <row r="321" spans="11:11" x14ac:dyDescent="0.45">
      <c r="K321">
        <v>23763.145076545785</v>
      </c>
    </row>
    <row r="322" spans="11:11" x14ac:dyDescent="0.45">
      <c r="K322">
        <v>13896.205790736658</v>
      </c>
    </row>
    <row r="323" spans="11:11" x14ac:dyDescent="0.45">
      <c r="K323">
        <v>9597.8659163070097</v>
      </c>
    </row>
    <row r="324" spans="11:11" x14ac:dyDescent="0.45">
      <c r="K324">
        <v>9027.1104853499965</v>
      </c>
    </row>
    <row r="325" spans="11:11" x14ac:dyDescent="0.45">
      <c r="K325">
        <v>27976.715118461107</v>
      </c>
    </row>
    <row r="326" spans="11:11" x14ac:dyDescent="0.45">
      <c r="K326">
        <v>5788.5016775494005</v>
      </c>
    </row>
    <row r="327" spans="11:11" x14ac:dyDescent="0.45">
      <c r="K327">
        <v>7848.3076943375645</v>
      </c>
    </row>
    <row r="328" spans="11:11" x14ac:dyDescent="0.45">
      <c r="K328">
        <v>15425.89247896252</v>
      </c>
    </row>
    <row r="329" spans="11:11" x14ac:dyDescent="0.45">
      <c r="K329">
        <v>7766.2793738684086</v>
      </c>
    </row>
    <row r="330" spans="11:11" x14ac:dyDescent="0.45">
      <c r="K330">
        <v>13119.62366080537</v>
      </c>
    </row>
    <row r="331" spans="11:11" x14ac:dyDescent="0.45">
      <c r="K331">
        <v>22841.312404937969</v>
      </c>
    </row>
    <row r="332" spans="11:11" x14ac:dyDescent="0.45">
      <c r="K332">
        <v>6828.1096188893125</v>
      </c>
    </row>
    <row r="333" spans="11:11" x14ac:dyDescent="0.45">
      <c r="K333">
        <v>7630.1401075742288</v>
      </c>
    </row>
    <row r="334" spans="11:11" x14ac:dyDescent="0.45">
      <c r="K334">
        <v>17935.121333102525</v>
      </c>
    </row>
    <row r="335" spans="11:11" x14ac:dyDescent="0.45">
      <c r="K335">
        <v>6432.1985588089774</v>
      </c>
    </row>
    <row r="336" spans="11:11" x14ac:dyDescent="0.45">
      <c r="K336">
        <v>17190.149253270327</v>
      </c>
    </row>
    <row r="337" spans="11:11" x14ac:dyDescent="0.45">
      <c r="K337">
        <v>25717.678747444079</v>
      </c>
    </row>
    <row r="338" spans="11:11" x14ac:dyDescent="0.45">
      <c r="K338">
        <v>10278.950289061346</v>
      </c>
    </row>
    <row r="339" spans="11:11" x14ac:dyDescent="0.45">
      <c r="K339">
        <v>14967.073891706008</v>
      </c>
    </row>
    <row r="340" spans="11:11" x14ac:dyDescent="0.45">
      <c r="K340">
        <v>15076.106002630062</v>
      </c>
    </row>
    <row r="341" spans="11:11" x14ac:dyDescent="0.45">
      <c r="K341">
        <v>10237.496974947309</v>
      </c>
    </row>
    <row r="342" spans="11:11" x14ac:dyDescent="0.45">
      <c r="K342">
        <v>19259.018794915453</v>
      </c>
    </row>
    <row r="343" spans="11:11" x14ac:dyDescent="0.45">
      <c r="K343">
        <v>2458.2120190472324</v>
      </c>
    </row>
    <row r="344" spans="11:11" x14ac:dyDescent="0.45">
      <c r="K344">
        <v>21277.337590313444</v>
      </c>
    </row>
    <row r="345" spans="11:11" x14ac:dyDescent="0.45">
      <c r="K345">
        <v>14211.885096592168</v>
      </c>
    </row>
    <row r="346" spans="11:11" x14ac:dyDescent="0.45">
      <c r="K346">
        <v>27485.460317755835</v>
      </c>
    </row>
    <row r="347" spans="11:11" x14ac:dyDescent="0.45">
      <c r="K347">
        <v>3539.4744476543365</v>
      </c>
    </row>
    <row r="348" spans="11:11" x14ac:dyDescent="0.45">
      <c r="K348">
        <v>8508.4471409078142</v>
      </c>
    </row>
    <row r="349" spans="11:11" x14ac:dyDescent="0.45">
      <c r="K349">
        <v>13787.270432063726</v>
      </c>
    </row>
    <row r="350" spans="11:11" x14ac:dyDescent="0.45">
      <c r="K350">
        <v>14408.318920321286</v>
      </c>
    </row>
    <row r="351" spans="11:11" x14ac:dyDescent="0.45">
      <c r="K351">
        <v>17488.68874824755</v>
      </c>
    </row>
    <row r="352" spans="11:11" x14ac:dyDescent="0.45">
      <c r="K352">
        <v>5915.3523704342169</v>
      </c>
    </row>
    <row r="353" spans="11:11" x14ac:dyDescent="0.45">
      <c r="K353">
        <v>11963.06348108633</v>
      </c>
    </row>
    <row r="354" spans="11:11" x14ac:dyDescent="0.45">
      <c r="K354">
        <v>15185.110360732881</v>
      </c>
    </row>
    <row r="355" spans="11:11" x14ac:dyDescent="0.45">
      <c r="K355">
        <v>7001.2224974262881</v>
      </c>
    </row>
    <row r="356" spans="11:11" x14ac:dyDescent="0.45">
      <c r="K356">
        <v>8343.0860743296435</v>
      </c>
    </row>
    <row r="357" spans="11:11" x14ac:dyDescent="0.45">
      <c r="K357">
        <v>10754.645489241126</v>
      </c>
    </row>
    <row r="358" spans="11:11" x14ac:dyDescent="0.45">
      <c r="K358">
        <v>20049.067755313299</v>
      </c>
    </row>
    <row r="359" spans="11:11" x14ac:dyDescent="0.45">
      <c r="K359">
        <v>13794.954891377056</v>
      </c>
    </row>
    <row r="360" spans="11:11" x14ac:dyDescent="0.45">
      <c r="K360">
        <v>2532.242197468051</v>
      </c>
    </row>
    <row r="361" spans="11:11" x14ac:dyDescent="0.45">
      <c r="K361">
        <v>12985.551378925706</v>
      </c>
    </row>
    <row r="362" spans="11:11" x14ac:dyDescent="0.45">
      <c r="K362">
        <v>4031.7776632174027</v>
      </c>
    </row>
    <row r="363" spans="11:11" x14ac:dyDescent="0.45">
      <c r="K363">
        <v>20221.007858690027</v>
      </c>
    </row>
    <row r="364" spans="11:11" x14ac:dyDescent="0.45">
      <c r="K364">
        <v>9134.647613875617</v>
      </c>
    </row>
    <row r="365" spans="11:11" x14ac:dyDescent="0.45">
      <c r="K365">
        <v>14712.322759104472</v>
      </c>
    </row>
    <row r="366" spans="11:11" x14ac:dyDescent="0.45">
      <c r="K366">
        <v>16080.173753422199</v>
      </c>
    </row>
    <row r="367" spans="11:11" x14ac:dyDescent="0.45">
      <c r="K367">
        <v>16597.221854027885</v>
      </c>
    </row>
    <row r="368" spans="11:11" x14ac:dyDescent="0.45">
      <c r="K368">
        <v>10743.379287544616</v>
      </c>
    </row>
    <row r="369" spans="11:11" x14ac:dyDescent="0.45">
      <c r="K369">
        <v>11327.193375820872</v>
      </c>
    </row>
    <row r="370" spans="11:11" x14ac:dyDescent="0.45">
      <c r="K370">
        <v>11679.533606316973</v>
      </c>
    </row>
    <row r="371" spans="11:11" x14ac:dyDescent="0.45">
      <c r="K371">
        <v>13172.247314144299</v>
      </c>
    </row>
    <row r="372" spans="11:11" x14ac:dyDescent="0.45">
      <c r="K372">
        <v>8250.2150897536703</v>
      </c>
    </row>
    <row r="373" spans="11:11" x14ac:dyDescent="0.45">
      <c r="K373">
        <v>16543.863415711796</v>
      </c>
    </row>
    <row r="374" spans="11:11" x14ac:dyDescent="0.45">
      <c r="K374">
        <v>4767.5661504131822</v>
      </c>
    </row>
    <row r="375" spans="11:11" x14ac:dyDescent="0.45">
      <c r="K375">
        <v>6425.7077610078723</v>
      </c>
    </row>
    <row r="376" spans="11:11" x14ac:dyDescent="0.45">
      <c r="K376">
        <v>5100.8457612033344</v>
      </c>
    </row>
    <row r="377" spans="11:11" x14ac:dyDescent="0.45">
      <c r="K377">
        <v>15212.188341411447</v>
      </c>
    </row>
    <row r="378" spans="11:11" x14ac:dyDescent="0.45">
      <c r="K378">
        <v>6230.4253341828726</v>
      </c>
    </row>
    <row r="379" spans="11:11" x14ac:dyDescent="0.45">
      <c r="K379">
        <v>8266.5676636186472</v>
      </c>
    </row>
    <row r="380" spans="11:11" x14ac:dyDescent="0.45">
      <c r="K380">
        <v>13542.396121400832</v>
      </c>
    </row>
    <row r="381" spans="11:11" x14ac:dyDescent="0.45">
      <c r="K381">
        <v>17432.189976897778</v>
      </c>
    </row>
    <row r="382" spans="11:11" x14ac:dyDescent="0.45">
      <c r="K382">
        <v>12272.870573453882</v>
      </c>
    </row>
    <row r="383" spans="11:11" x14ac:dyDescent="0.45">
      <c r="K383">
        <v>8498.4525555034852</v>
      </c>
    </row>
    <row r="384" spans="11:11" x14ac:dyDescent="0.45">
      <c r="K384">
        <v>16696.396415819512</v>
      </c>
    </row>
    <row r="385" spans="11:11" x14ac:dyDescent="0.45">
      <c r="K385">
        <v>12237.804411213709</v>
      </c>
    </row>
    <row r="386" spans="11:11" x14ac:dyDescent="0.45">
      <c r="K386">
        <v>12840.511530815977</v>
      </c>
    </row>
    <row r="387" spans="11:11" x14ac:dyDescent="0.45">
      <c r="K387">
        <v>14523.788972088696</v>
      </c>
    </row>
    <row r="388" spans="11:11" x14ac:dyDescent="0.45">
      <c r="K388">
        <v>10808.120862937432</v>
      </c>
    </row>
    <row r="389" spans="11:11" x14ac:dyDescent="0.45">
      <c r="K389">
        <v>20236.186789603067</v>
      </c>
    </row>
    <row r="390" spans="11:11" x14ac:dyDescent="0.45">
      <c r="K390">
        <v>19725.24378076529</v>
      </c>
    </row>
    <row r="391" spans="11:11" x14ac:dyDescent="0.45">
      <c r="K391">
        <v>18373.439241393517</v>
      </c>
    </row>
    <row r="392" spans="11:11" x14ac:dyDescent="0.45">
      <c r="K392">
        <v>15364.296886123537</v>
      </c>
    </row>
    <row r="393" spans="11:11" x14ac:dyDescent="0.45">
      <c r="K393">
        <v>11719.878199908275</v>
      </c>
    </row>
    <row r="394" spans="11:11" x14ac:dyDescent="0.45">
      <c r="K394">
        <v>14044.350714421338</v>
      </c>
    </row>
    <row r="395" spans="11:11" x14ac:dyDescent="0.45">
      <c r="K395">
        <v>3825.5109696140826</v>
      </c>
    </row>
    <row r="396" spans="11:11" x14ac:dyDescent="0.45">
      <c r="K396">
        <v>0</v>
      </c>
    </row>
    <row r="397" spans="11:11" x14ac:dyDescent="0.45">
      <c r="K397">
        <v>14555.270168431238</v>
      </c>
    </row>
    <row r="398" spans="11:11" x14ac:dyDescent="0.45">
      <c r="K398">
        <v>16205.74620846695</v>
      </c>
    </row>
    <row r="399" spans="11:11" x14ac:dyDescent="0.45">
      <c r="K399">
        <v>16051.531812086549</v>
      </c>
    </row>
    <row r="400" spans="11:11" x14ac:dyDescent="0.45">
      <c r="K400">
        <v>18212.696623687723</v>
      </c>
    </row>
    <row r="401" spans="11:11" x14ac:dyDescent="0.45">
      <c r="K401">
        <v>15425.910003762241</v>
      </c>
    </row>
    <row r="402" spans="11:11" x14ac:dyDescent="0.45">
      <c r="K402">
        <v>13849.63137779361</v>
      </c>
    </row>
    <row r="403" spans="11:11" x14ac:dyDescent="0.45">
      <c r="K403">
        <v>16673.042082414897</v>
      </c>
    </row>
    <row r="404" spans="11:11" x14ac:dyDescent="0.45">
      <c r="K404">
        <v>12222.571444574338</v>
      </c>
    </row>
    <row r="405" spans="11:11" x14ac:dyDescent="0.45">
      <c r="K405">
        <v>11162.863564406289</v>
      </c>
    </row>
    <row r="406" spans="11:11" x14ac:dyDescent="0.45">
      <c r="K406">
        <v>9448.8623557545598</v>
      </c>
    </row>
    <row r="407" spans="11:11" x14ac:dyDescent="0.45">
      <c r="K407">
        <v>13670.571342695415</v>
      </c>
    </row>
    <row r="408" spans="11:11" x14ac:dyDescent="0.45">
      <c r="K408">
        <v>14729.842763138917</v>
      </c>
    </row>
    <row r="409" spans="11:11" x14ac:dyDescent="0.45">
      <c r="K409">
        <v>3982.1274432519022</v>
      </c>
    </row>
    <row r="410" spans="11:11" x14ac:dyDescent="0.45">
      <c r="K410">
        <v>16037.528530522417</v>
      </c>
    </row>
    <row r="411" spans="11:11" x14ac:dyDescent="0.45">
      <c r="K411">
        <v>25031.153714414522</v>
      </c>
    </row>
    <row r="412" spans="11:11" x14ac:dyDescent="0.45">
      <c r="K412">
        <v>7792.6914822406661</v>
      </c>
    </row>
    <row r="413" spans="11:11" x14ac:dyDescent="0.45">
      <c r="K413">
        <v>11710.467367220903</v>
      </c>
    </row>
    <row r="414" spans="11:11" x14ac:dyDescent="0.45">
      <c r="K414">
        <v>13458.63627549601</v>
      </c>
    </row>
    <row r="415" spans="11:11" x14ac:dyDescent="0.45">
      <c r="K415">
        <v>20341.374081961254</v>
      </c>
    </row>
    <row r="416" spans="11:11" x14ac:dyDescent="0.45">
      <c r="K416">
        <v>15177.383622056544</v>
      </c>
    </row>
    <row r="417" spans="11:11" x14ac:dyDescent="0.45">
      <c r="K417">
        <v>20339.037000408527</v>
      </c>
    </row>
    <row r="418" spans="11:11" x14ac:dyDescent="0.45">
      <c r="K418">
        <v>9406.703880894931</v>
      </c>
    </row>
    <row r="419" spans="11:11" x14ac:dyDescent="0.45">
      <c r="K419">
        <v>16733.921709804188</v>
      </c>
    </row>
    <row r="420" spans="11:11" x14ac:dyDescent="0.45">
      <c r="K420">
        <v>10583.202093552245</v>
      </c>
    </row>
    <row r="421" spans="11:11" x14ac:dyDescent="0.45">
      <c r="K421">
        <v>14413.315559010276</v>
      </c>
    </row>
    <row r="422" spans="11:11" x14ac:dyDescent="0.45">
      <c r="K422">
        <v>7947.8051072976314</v>
      </c>
    </row>
    <row r="423" spans="11:11" x14ac:dyDescent="0.45">
      <c r="K423">
        <v>20424.697193403812</v>
      </c>
    </row>
    <row r="424" spans="11:11" x14ac:dyDescent="0.45">
      <c r="K424">
        <v>15206.953997130851</v>
      </c>
    </row>
    <row r="425" spans="11:11" x14ac:dyDescent="0.45">
      <c r="K425">
        <v>8821.8054367857112</v>
      </c>
    </row>
    <row r="426" spans="11:11" x14ac:dyDescent="0.45">
      <c r="K426">
        <v>29237.252855978324</v>
      </c>
    </row>
    <row r="427" spans="11:11" x14ac:dyDescent="0.45">
      <c r="K427">
        <v>22353.818251484219</v>
      </c>
    </row>
    <row r="428" spans="11:11" x14ac:dyDescent="0.45">
      <c r="K428">
        <v>13014.0226137133</v>
      </c>
    </row>
    <row r="429" spans="11:11" x14ac:dyDescent="0.45">
      <c r="K429">
        <v>1958.8349924849626</v>
      </c>
    </row>
    <row r="430" spans="11:11" x14ac:dyDescent="0.45">
      <c r="K430">
        <v>11670.726065252857</v>
      </c>
    </row>
    <row r="431" spans="11:11" x14ac:dyDescent="0.45">
      <c r="K431">
        <v>4385.2938866452005</v>
      </c>
    </row>
    <row r="432" spans="11:11" x14ac:dyDescent="0.45">
      <c r="K432">
        <v>5309.5572677573982</v>
      </c>
    </row>
    <row r="433" spans="11:11" x14ac:dyDescent="0.45">
      <c r="K433">
        <v>19934.125576031904</v>
      </c>
    </row>
    <row r="434" spans="11:11" x14ac:dyDescent="0.45">
      <c r="K434">
        <v>18441.507746589836</v>
      </c>
    </row>
    <row r="435" spans="11:11" x14ac:dyDescent="0.45">
      <c r="K435">
        <v>17995.621335406006</v>
      </c>
    </row>
    <row r="436" spans="11:11" x14ac:dyDescent="0.45">
      <c r="K436">
        <v>11204.435197608394</v>
      </c>
    </row>
    <row r="437" spans="11:11" x14ac:dyDescent="0.45">
      <c r="K437">
        <v>891.55554126193238</v>
      </c>
    </row>
    <row r="438" spans="11:11" x14ac:dyDescent="0.45">
      <c r="K438">
        <v>14173.372018001606</v>
      </c>
    </row>
    <row r="439" spans="11:11" x14ac:dyDescent="0.45">
      <c r="K439">
        <v>11854.478259352158</v>
      </c>
    </row>
    <row r="440" spans="11:11" x14ac:dyDescent="0.45">
      <c r="K440">
        <v>16831.224837121761</v>
      </c>
    </row>
    <row r="441" spans="11:11" x14ac:dyDescent="0.45">
      <c r="K441">
        <v>15344.505200239844</v>
      </c>
    </row>
    <row r="442" spans="11:11" x14ac:dyDescent="0.45">
      <c r="K442">
        <v>21994.170473966849</v>
      </c>
    </row>
    <row r="443" spans="11:11" x14ac:dyDescent="0.45">
      <c r="K443">
        <v>11909.624859070358</v>
      </c>
    </row>
    <row r="444" spans="11:11" x14ac:dyDescent="0.45">
      <c r="K444">
        <v>3067.095316973182</v>
      </c>
    </row>
    <row r="445" spans="11:11" x14ac:dyDescent="0.45">
      <c r="K445">
        <v>29845.40101599606</v>
      </c>
    </row>
    <row r="446" spans="11:11" x14ac:dyDescent="0.45">
      <c r="K446">
        <v>12155.051515802241</v>
      </c>
    </row>
    <row r="447" spans="11:11" x14ac:dyDescent="0.45">
      <c r="K447">
        <v>10191.353017865436</v>
      </c>
    </row>
    <row r="448" spans="11:11" x14ac:dyDescent="0.45">
      <c r="K448">
        <v>20089.607131822482</v>
      </c>
    </row>
    <row r="449" spans="11:11" x14ac:dyDescent="0.45">
      <c r="K449">
        <v>7983.7774232784122</v>
      </c>
    </row>
    <row r="450" spans="11:11" x14ac:dyDescent="0.45">
      <c r="K450">
        <v>16457.997513797665</v>
      </c>
    </row>
    <row r="451" spans="11:11" x14ac:dyDescent="0.45">
      <c r="K451">
        <v>21568.616917819454</v>
      </c>
    </row>
    <row r="452" spans="11:11" x14ac:dyDescent="0.45">
      <c r="K452">
        <v>16757.736152969806</v>
      </c>
    </row>
    <row r="453" spans="11:11" x14ac:dyDescent="0.45">
      <c r="K453">
        <v>16217.468136672816</v>
      </c>
    </row>
    <row r="454" spans="11:11" x14ac:dyDescent="0.45">
      <c r="K454">
        <v>19054.935338412488</v>
      </c>
    </row>
    <row r="455" spans="11:11" x14ac:dyDescent="0.45">
      <c r="K455">
        <v>22513.473104510136</v>
      </c>
    </row>
    <row r="456" spans="11:11" x14ac:dyDescent="0.45">
      <c r="K456">
        <v>8070.232447709107</v>
      </c>
    </row>
    <row r="457" spans="11:11" x14ac:dyDescent="0.45">
      <c r="K457">
        <v>24014.570442986118</v>
      </c>
    </row>
    <row r="458" spans="11:11" x14ac:dyDescent="0.45">
      <c r="K458">
        <v>1987.9072272066242</v>
      </c>
    </row>
    <row r="459" spans="11:11" x14ac:dyDescent="0.45">
      <c r="K459">
        <v>22907.252124563936</v>
      </c>
    </row>
    <row r="460" spans="11:11" x14ac:dyDescent="0.45">
      <c r="K460">
        <v>11700.084186278744</v>
      </c>
    </row>
    <row r="461" spans="11:11" x14ac:dyDescent="0.45">
      <c r="K461">
        <v>20768.92705396708</v>
      </c>
    </row>
    <row r="462" spans="11:11" x14ac:dyDescent="0.45">
      <c r="K462">
        <v>14138.82824732293</v>
      </c>
    </row>
    <row r="463" spans="11:11" x14ac:dyDescent="0.45">
      <c r="K463">
        <v>18486.445178810671</v>
      </c>
    </row>
    <row r="464" spans="11:11" x14ac:dyDescent="0.45">
      <c r="K464">
        <v>11635.529529990057</v>
      </c>
    </row>
    <row r="465" spans="11:11" x14ac:dyDescent="0.45">
      <c r="K465">
        <v>21385.327807333775</v>
      </c>
    </row>
    <row r="466" spans="11:11" x14ac:dyDescent="0.45">
      <c r="K466">
        <v>13886.461632273526</v>
      </c>
    </row>
    <row r="467" spans="11:11" x14ac:dyDescent="0.45">
      <c r="K467">
        <v>10501.775512762786</v>
      </c>
    </row>
    <row r="468" spans="11:11" x14ac:dyDescent="0.45">
      <c r="K468">
        <v>17455.41086954395</v>
      </c>
    </row>
    <row r="469" spans="11:11" x14ac:dyDescent="0.45">
      <c r="K469">
        <v>14017.164684593867</v>
      </c>
    </row>
    <row r="470" spans="11:11" x14ac:dyDescent="0.45">
      <c r="K470">
        <v>8624.6336126457245</v>
      </c>
    </row>
    <row r="471" spans="11:11" x14ac:dyDescent="0.45">
      <c r="K471">
        <v>22110.298741762792</v>
      </c>
    </row>
    <row r="472" spans="11:11" x14ac:dyDescent="0.45">
      <c r="K472">
        <v>9984.753410969648</v>
      </c>
    </row>
    <row r="473" spans="11:11" x14ac:dyDescent="0.45">
      <c r="K473">
        <v>11550.597174622824</v>
      </c>
    </row>
    <row r="474" spans="11:11" x14ac:dyDescent="0.45">
      <c r="K474">
        <v>18490.286951884875</v>
      </c>
    </row>
    <row r="475" spans="11:11" x14ac:dyDescent="0.45">
      <c r="K475">
        <v>12884.370547527415</v>
      </c>
    </row>
    <row r="476" spans="11:11" x14ac:dyDescent="0.45">
      <c r="K476">
        <v>10041.843725553019</v>
      </c>
    </row>
    <row r="477" spans="11:11" x14ac:dyDescent="0.45">
      <c r="K477">
        <v>17518.779582659103</v>
      </c>
    </row>
    <row r="478" spans="11:11" x14ac:dyDescent="0.45">
      <c r="K478">
        <v>4188.9481507478195</v>
      </c>
    </row>
    <row r="479" spans="11:11" x14ac:dyDescent="0.45">
      <c r="K479">
        <v>10643.615817041713</v>
      </c>
    </row>
    <row r="480" spans="11:11" x14ac:dyDescent="0.45">
      <c r="K480">
        <v>13186.664976637057</v>
      </c>
    </row>
    <row r="481" spans="11:11" x14ac:dyDescent="0.45">
      <c r="K481">
        <v>15752.673033249292</v>
      </c>
    </row>
    <row r="482" spans="11:11" x14ac:dyDescent="0.45">
      <c r="K482">
        <v>13731.130208434861</v>
      </c>
    </row>
    <row r="483" spans="11:11" x14ac:dyDescent="0.45">
      <c r="K483">
        <v>16521.806120177236</v>
      </c>
    </row>
    <row r="484" spans="11:11" x14ac:dyDescent="0.45">
      <c r="K484">
        <v>19267.746533080492</v>
      </c>
    </row>
    <row r="485" spans="11:11" x14ac:dyDescent="0.45">
      <c r="K485">
        <v>11914.50671518442</v>
      </c>
    </row>
    <row r="486" spans="11:11" x14ac:dyDescent="0.45">
      <c r="K486">
        <v>2764.892111332465</v>
      </c>
    </row>
    <row r="487" spans="11:11" x14ac:dyDescent="0.45">
      <c r="K487">
        <v>15853.335405907395</v>
      </c>
    </row>
    <row r="488" spans="11:11" x14ac:dyDescent="0.45">
      <c r="K488">
        <v>14462.895278262737</v>
      </c>
    </row>
    <row r="489" spans="11:11" x14ac:dyDescent="0.45">
      <c r="K489">
        <v>9686.6404185630963</v>
      </c>
    </row>
    <row r="490" spans="11:11" x14ac:dyDescent="0.45">
      <c r="K490">
        <v>17076.266488982208</v>
      </c>
    </row>
    <row r="491" spans="11:11" x14ac:dyDescent="0.45">
      <c r="K491">
        <v>16043.86996832658</v>
      </c>
    </row>
    <row r="492" spans="11:11" x14ac:dyDescent="0.45">
      <c r="K492">
        <v>11971.99412125635</v>
      </c>
    </row>
    <row r="493" spans="11:11" x14ac:dyDescent="0.45">
      <c r="K493">
        <v>21156.637056220963</v>
      </c>
    </row>
    <row r="494" spans="11:11" x14ac:dyDescent="0.45">
      <c r="K494">
        <v>18350.412628013706</v>
      </c>
    </row>
    <row r="495" spans="11:11" x14ac:dyDescent="0.45">
      <c r="K495">
        <v>10821.568435301737</v>
      </c>
    </row>
    <row r="496" spans="11:11" x14ac:dyDescent="0.45">
      <c r="K496">
        <v>17397.336239424694</v>
      </c>
    </row>
    <row r="497" spans="11:11" x14ac:dyDescent="0.45">
      <c r="K497">
        <v>11490.939988433604</v>
      </c>
    </row>
    <row r="498" spans="11:11" x14ac:dyDescent="0.45">
      <c r="K498">
        <v>15581.475188270335</v>
      </c>
    </row>
    <row r="499" spans="11:11" x14ac:dyDescent="0.45">
      <c r="K499">
        <v>14139.797373211424</v>
      </c>
    </row>
    <row r="500" spans="11:11" x14ac:dyDescent="0.45">
      <c r="K500">
        <v>14353.249380953246</v>
      </c>
    </row>
    <row r="501" spans="11:11" x14ac:dyDescent="0.45">
      <c r="K501">
        <v>19060.075781807969</v>
      </c>
    </row>
    <row r="502" spans="11:11" x14ac:dyDescent="0.45">
      <c r="K502">
        <v>13640.658915918608</v>
      </c>
    </row>
    <row r="503" spans="11:11" x14ac:dyDescent="0.45">
      <c r="K503">
        <v>7807.1142236792048</v>
      </c>
    </row>
    <row r="504" spans="11:11" x14ac:dyDescent="0.45">
      <c r="K504">
        <v>2552.724761091351</v>
      </c>
    </row>
    <row r="505" spans="11:11" x14ac:dyDescent="0.45">
      <c r="K505">
        <v>6485.9311657970238</v>
      </c>
    </row>
    <row r="506" spans="11:11" x14ac:dyDescent="0.45">
      <c r="K506">
        <v>15709.384502881754</v>
      </c>
    </row>
    <row r="507" spans="11:11" x14ac:dyDescent="0.45">
      <c r="K507">
        <v>19575.024509781706</v>
      </c>
    </row>
    <row r="508" spans="11:11" x14ac:dyDescent="0.45">
      <c r="K508">
        <v>9270.2440098287516</v>
      </c>
    </row>
    <row r="509" spans="11:11" x14ac:dyDescent="0.45">
      <c r="K509">
        <v>15493.820521785239</v>
      </c>
    </row>
    <row r="510" spans="11:11" x14ac:dyDescent="0.45">
      <c r="K510">
        <v>7114.8827303340449</v>
      </c>
    </row>
    <row r="511" spans="11:11" x14ac:dyDescent="0.45">
      <c r="K511">
        <v>5731.0279583816628</v>
      </c>
    </row>
    <row r="512" spans="11:11" x14ac:dyDescent="0.45">
      <c r="K512">
        <v>18450.4669593775</v>
      </c>
    </row>
    <row r="513" spans="11:11" x14ac:dyDescent="0.45">
      <c r="K513">
        <v>18268.095244216689</v>
      </c>
    </row>
    <row r="514" spans="11:11" x14ac:dyDescent="0.45">
      <c r="K514">
        <v>17103.025628614196</v>
      </c>
    </row>
    <row r="515" spans="11:11" x14ac:dyDescent="0.45">
      <c r="K515">
        <v>20139.173913711791</v>
      </c>
    </row>
    <row r="516" spans="11:11" x14ac:dyDescent="0.45">
      <c r="K516">
        <v>17095.402840089486</v>
      </c>
    </row>
    <row r="517" spans="11:11" x14ac:dyDescent="0.45">
      <c r="K517">
        <v>8741.873368717379</v>
      </c>
    </row>
    <row r="518" spans="11:11" x14ac:dyDescent="0.45">
      <c r="K518">
        <v>12442.668938042332</v>
      </c>
    </row>
    <row r="519" spans="11:11" x14ac:dyDescent="0.45">
      <c r="K519">
        <v>11346.055695290073</v>
      </c>
    </row>
    <row r="520" spans="11:11" x14ac:dyDescent="0.45">
      <c r="K520">
        <v>15769.100210700784</v>
      </c>
    </row>
    <row r="521" spans="11:11" x14ac:dyDescent="0.45">
      <c r="K521">
        <v>10639.165745644555</v>
      </c>
    </row>
    <row r="522" spans="11:11" x14ac:dyDescent="0.45">
      <c r="K522">
        <v>15802.946533616978</v>
      </c>
    </row>
    <row r="523" spans="11:11" x14ac:dyDescent="0.45">
      <c r="K523">
        <v>8725.1650457053656</v>
      </c>
    </row>
    <row r="524" spans="11:11" x14ac:dyDescent="0.45">
      <c r="K524">
        <v>17936.593046303529</v>
      </c>
    </row>
    <row r="525" spans="11:11" x14ac:dyDescent="0.45">
      <c r="K525">
        <v>12575.148094324288</v>
      </c>
    </row>
    <row r="526" spans="11:11" x14ac:dyDescent="0.45">
      <c r="K526">
        <v>10656.32783470552</v>
      </c>
    </row>
    <row r="527" spans="11:11" x14ac:dyDescent="0.45">
      <c r="K527">
        <v>22116.782831420467</v>
      </c>
    </row>
    <row r="528" spans="11:11" x14ac:dyDescent="0.45">
      <c r="K528">
        <v>18239.406522009031</v>
      </c>
    </row>
    <row r="529" spans="11:11" x14ac:dyDescent="0.45">
      <c r="K529">
        <v>13035.732611655178</v>
      </c>
    </row>
    <row r="530" spans="11:11" x14ac:dyDescent="0.45">
      <c r="K530">
        <v>13032.298731237164</v>
      </c>
    </row>
    <row r="531" spans="11:11" x14ac:dyDescent="0.45">
      <c r="K531">
        <v>4895.5420436423628</v>
      </c>
    </row>
    <row r="532" spans="11:11" x14ac:dyDescent="0.45">
      <c r="K532">
        <v>9997.8565281312549</v>
      </c>
    </row>
    <row r="533" spans="11:11" x14ac:dyDescent="0.45">
      <c r="K533">
        <v>15529.53366280149</v>
      </c>
    </row>
    <row r="534" spans="11:11" x14ac:dyDescent="0.45">
      <c r="K534">
        <v>0</v>
      </c>
    </row>
    <row r="535" spans="11:11" x14ac:dyDescent="0.45">
      <c r="K535">
        <v>8825.3590655908392</v>
      </c>
    </row>
    <row r="536" spans="11:11" x14ac:dyDescent="0.45">
      <c r="K536">
        <v>23752.334822957611</v>
      </c>
    </row>
    <row r="537" spans="11:11" x14ac:dyDescent="0.45">
      <c r="K537">
        <v>12158.064100809675</v>
      </c>
    </row>
    <row r="538" spans="11:11" x14ac:dyDescent="0.45">
      <c r="K538">
        <v>5359.4175830390677</v>
      </c>
    </row>
    <row r="539" spans="11:11" x14ac:dyDescent="0.45">
      <c r="K539">
        <v>10634.031665777127</v>
      </c>
    </row>
    <row r="540" spans="11:11" x14ac:dyDescent="0.45">
      <c r="K540">
        <v>11763.953932157907</v>
      </c>
    </row>
    <row r="541" spans="11:11" x14ac:dyDescent="0.45">
      <c r="K541">
        <v>14107.28495109808</v>
      </c>
    </row>
    <row r="542" spans="11:11" x14ac:dyDescent="0.45">
      <c r="K542">
        <v>18755.951358798495</v>
      </c>
    </row>
    <row r="543" spans="11:11" x14ac:dyDescent="0.45">
      <c r="K543">
        <v>0</v>
      </c>
    </row>
    <row r="544" spans="11:11" x14ac:dyDescent="0.45">
      <c r="K544">
        <v>15288.757057378212</v>
      </c>
    </row>
    <row r="545" spans="11:11" x14ac:dyDescent="0.45">
      <c r="K545">
        <v>12656.388444088849</v>
      </c>
    </row>
    <row r="546" spans="11:11" x14ac:dyDescent="0.45">
      <c r="K546">
        <v>15534.840601574091</v>
      </c>
    </row>
    <row r="547" spans="11:11" x14ac:dyDescent="0.45">
      <c r="K547">
        <v>10956.580473504913</v>
      </c>
    </row>
    <row r="548" spans="11:11" x14ac:dyDescent="0.45">
      <c r="K548">
        <v>11881.428709029246</v>
      </c>
    </row>
    <row r="549" spans="11:11" x14ac:dyDescent="0.45">
      <c r="K549">
        <v>8315.6982913452757</v>
      </c>
    </row>
    <row r="550" spans="11:11" x14ac:dyDescent="0.45">
      <c r="K550">
        <v>19137.199732753015</v>
      </c>
    </row>
    <row r="551" spans="11:11" x14ac:dyDescent="0.45">
      <c r="K551">
        <v>17468.939782657555</v>
      </c>
    </row>
    <row r="552" spans="11:11" x14ac:dyDescent="0.45">
      <c r="K552">
        <v>20476.283431333464</v>
      </c>
    </row>
    <row r="553" spans="11:11" x14ac:dyDescent="0.45">
      <c r="K553">
        <v>0</v>
      </c>
    </row>
    <row r="554" spans="11:11" x14ac:dyDescent="0.45">
      <c r="K554">
        <v>1758.110958819756</v>
      </c>
    </row>
    <row r="555" spans="11:11" x14ac:dyDescent="0.45">
      <c r="K555">
        <v>19621.134281568146</v>
      </c>
    </row>
    <row r="556" spans="11:11" x14ac:dyDescent="0.45">
      <c r="K556">
        <v>10214.335850270694</v>
      </c>
    </row>
    <row r="557" spans="11:11" x14ac:dyDescent="0.45">
      <c r="K557">
        <v>10871.02020389692</v>
      </c>
    </row>
    <row r="558" spans="11:11" x14ac:dyDescent="0.45">
      <c r="K558">
        <v>11199.510789421351</v>
      </c>
    </row>
    <row r="559" spans="11:11" x14ac:dyDescent="0.45">
      <c r="K559">
        <v>23392.467616206199</v>
      </c>
    </row>
    <row r="560" spans="11:11" x14ac:dyDescent="0.45">
      <c r="K560">
        <v>11926.528510589749</v>
      </c>
    </row>
    <row r="561" spans="11:11" x14ac:dyDescent="0.45">
      <c r="K561">
        <v>11972.757165866848</v>
      </c>
    </row>
    <row r="562" spans="11:11" x14ac:dyDescent="0.45">
      <c r="K562">
        <v>0</v>
      </c>
    </row>
    <row r="563" spans="11:11" x14ac:dyDescent="0.45">
      <c r="K563">
        <v>13879.354927377983</v>
      </c>
    </row>
    <row r="564" spans="11:11" x14ac:dyDescent="0.45">
      <c r="K564">
        <v>16094.649576517802</v>
      </c>
    </row>
    <row r="565" spans="11:11" x14ac:dyDescent="0.45">
      <c r="K565">
        <v>22265.916615387407</v>
      </c>
    </row>
    <row r="566" spans="11:11" x14ac:dyDescent="0.45">
      <c r="K566">
        <v>0</v>
      </c>
    </row>
    <row r="567" spans="11:11" x14ac:dyDescent="0.45">
      <c r="K567">
        <v>6562.3055229420743</v>
      </c>
    </row>
    <row r="568" spans="11:11" x14ac:dyDescent="0.45">
      <c r="K568">
        <v>12161.421480236091</v>
      </c>
    </row>
    <row r="569" spans="11:11" x14ac:dyDescent="0.45">
      <c r="K569">
        <v>18363.989230224768</v>
      </c>
    </row>
    <row r="570" spans="11:11" x14ac:dyDescent="0.45">
      <c r="K570">
        <v>18467.590141024066</v>
      </c>
    </row>
    <row r="571" spans="11:11" x14ac:dyDescent="0.45">
      <c r="K571">
        <v>18021.698624180848</v>
      </c>
    </row>
    <row r="572" spans="11:11" x14ac:dyDescent="0.45">
      <c r="K572">
        <v>16940.792854355321</v>
      </c>
    </row>
    <row r="573" spans="11:11" x14ac:dyDescent="0.45">
      <c r="K573">
        <v>15057.61459656011</v>
      </c>
    </row>
    <row r="574" spans="11:11" x14ac:dyDescent="0.45">
      <c r="K574">
        <v>18868.348221299719</v>
      </c>
    </row>
    <row r="575" spans="11:11" x14ac:dyDescent="0.45">
      <c r="K575">
        <v>6997.3893151280708</v>
      </c>
    </row>
    <row r="576" spans="11:11" x14ac:dyDescent="0.45">
      <c r="K576">
        <v>31949.043721852842</v>
      </c>
    </row>
    <row r="577" spans="11:11" x14ac:dyDescent="0.45">
      <c r="K577">
        <v>22960.527303193492</v>
      </c>
    </row>
    <row r="578" spans="11:11" x14ac:dyDescent="0.45">
      <c r="K578">
        <v>12723.283655175237</v>
      </c>
    </row>
    <row r="579" spans="11:11" x14ac:dyDescent="0.45">
      <c r="K579">
        <v>4602.0758228122304</v>
      </c>
    </row>
    <row r="580" spans="11:11" x14ac:dyDescent="0.45">
      <c r="K580">
        <v>13528.085195550299</v>
      </c>
    </row>
    <row r="581" spans="11:11" x14ac:dyDescent="0.45">
      <c r="K581">
        <v>16927.097891292848</v>
      </c>
    </row>
    <row r="582" spans="11:11" x14ac:dyDescent="0.45">
      <c r="K582">
        <v>20812.828870295358</v>
      </c>
    </row>
    <row r="583" spans="11:11" x14ac:dyDescent="0.45">
      <c r="K583">
        <v>12723.54434876083</v>
      </c>
    </row>
    <row r="584" spans="11:11" x14ac:dyDescent="0.45">
      <c r="K584">
        <v>13642.041816782286</v>
      </c>
    </row>
    <row r="585" spans="11:11" x14ac:dyDescent="0.45">
      <c r="K585">
        <v>20956.264505191371</v>
      </c>
    </row>
    <row r="586" spans="11:11" x14ac:dyDescent="0.45">
      <c r="K586">
        <v>9069.1400821796451</v>
      </c>
    </row>
    <row r="587" spans="11:11" x14ac:dyDescent="0.45">
      <c r="K587">
        <v>12204.139686719183</v>
      </c>
    </row>
    <row r="588" spans="11:11" x14ac:dyDescent="0.45">
      <c r="K588">
        <v>12023.560804226005</v>
      </c>
    </row>
    <row r="589" spans="11:11" x14ac:dyDescent="0.45">
      <c r="K589">
        <v>32031.697206822279</v>
      </c>
    </row>
    <row r="590" spans="11:11" x14ac:dyDescent="0.45">
      <c r="K590">
        <v>7499.0160826555721</v>
      </c>
    </row>
    <row r="591" spans="11:11" x14ac:dyDescent="0.45">
      <c r="K591">
        <v>18556.146720237502</v>
      </c>
    </row>
    <row r="592" spans="11:11" x14ac:dyDescent="0.45">
      <c r="K592">
        <v>0</v>
      </c>
    </row>
    <row r="593" spans="11:11" x14ac:dyDescent="0.45">
      <c r="K593">
        <v>12282.603943191267</v>
      </c>
    </row>
    <row r="594" spans="11:11" x14ac:dyDescent="0.45">
      <c r="K594">
        <v>2822.4389591300551</v>
      </c>
    </row>
    <row r="595" spans="11:11" x14ac:dyDescent="0.45">
      <c r="K595">
        <v>5479.2889363062031</v>
      </c>
    </row>
    <row r="596" spans="11:11" x14ac:dyDescent="0.45">
      <c r="K596">
        <v>7578.8044739850684</v>
      </c>
    </row>
    <row r="597" spans="11:11" x14ac:dyDescent="0.45">
      <c r="K597">
        <v>16857.621248787793</v>
      </c>
    </row>
    <row r="598" spans="11:11" x14ac:dyDescent="0.45">
      <c r="K598">
        <v>14294.230621591791</v>
      </c>
    </row>
    <row r="599" spans="11:11" x14ac:dyDescent="0.45">
      <c r="K599">
        <v>21550.964543890201</v>
      </c>
    </row>
    <row r="600" spans="11:11" x14ac:dyDescent="0.45">
      <c r="K600">
        <v>12635.273133136094</v>
      </c>
    </row>
    <row r="601" spans="11:11" x14ac:dyDescent="0.45">
      <c r="K601">
        <v>12243.557786369962</v>
      </c>
    </row>
    <row r="602" spans="11:11" x14ac:dyDescent="0.45">
      <c r="K602">
        <v>7662.1373970268505</v>
      </c>
    </row>
    <row r="603" spans="11:11" x14ac:dyDescent="0.45">
      <c r="K603">
        <v>10405.414309052856</v>
      </c>
    </row>
    <row r="604" spans="11:11" x14ac:dyDescent="0.45">
      <c r="K604">
        <v>9249.4665572490376</v>
      </c>
    </row>
    <row r="605" spans="11:11" x14ac:dyDescent="0.45">
      <c r="K605">
        <v>8484.6658283751531</v>
      </c>
    </row>
    <row r="606" spans="11:11" x14ac:dyDescent="0.45">
      <c r="K606">
        <v>14078.168783356261</v>
      </c>
    </row>
    <row r="607" spans="11:11" x14ac:dyDescent="0.45">
      <c r="K607">
        <v>14108.519729046733</v>
      </c>
    </row>
    <row r="608" spans="11:11" x14ac:dyDescent="0.45">
      <c r="K608">
        <v>13326.104260320903</v>
      </c>
    </row>
    <row r="609" spans="11:11" x14ac:dyDescent="0.45">
      <c r="K609">
        <v>19729.924840680516</v>
      </c>
    </row>
    <row r="610" spans="11:11" x14ac:dyDescent="0.45">
      <c r="K610">
        <v>10941.088753934488</v>
      </c>
    </row>
    <row r="611" spans="11:11" x14ac:dyDescent="0.45">
      <c r="K611">
        <v>13702.505579989333</v>
      </c>
    </row>
    <row r="612" spans="11:11" x14ac:dyDescent="0.45">
      <c r="K612">
        <v>2588.1832663488185</v>
      </c>
    </row>
    <row r="613" spans="11:11" x14ac:dyDescent="0.45">
      <c r="K613">
        <v>5075.7929935947159</v>
      </c>
    </row>
    <row r="614" spans="11:11" x14ac:dyDescent="0.45">
      <c r="K614">
        <v>15958.063455039855</v>
      </c>
    </row>
    <row r="615" spans="11:11" x14ac:dyDescent="0.45">
      <c r="K615">
        <v>14836.125519537005</v>
      </c>
    </row>
    <row r="616" spans="11:11" x14ac:dyDescent="0.45">
      <c r="K616">
        <v>18345.610779878374</v>
      </c>
    </row>
    <row r="617" spans="11:11" x14ac:dyDescent="0.45">
      <c r="K617">
        <v>13155.359917399914</v>
      </c>
    </row>
    <row r="618" spans="11:11" x14ac:dyDescent="0.45">
      <c r="K618">
        <v>16804.552301974676</v>
      </c>
    </row>
    <row r="619" spans="11:11" x14ac:dyDescent="0.45">
      <c r="K619">
        <v>5471.9318604110131</v>
      </c>
    </row>
    <row r="620" spans="11:11" x14ac:dyDescent="0.45">
      <c r="K620">
        <v>1168.6623640553862</v>
      </c>
    </row>
    <row r="621" spans="11:11" x14ac:dyDescent="0.45">
      <c r="K621">
        <v>12710.713342928981</v>
      </c>
    </row>
    <row r="622" spans="11:11" x14ac:dyDescent="0.45">
      <c r="K622">
        <v>20272.802526333064</v>
      </c>
    </row>
    <row r="623" spans="11:11" x14ac:dyDescent="0.45">
      <c r="K623">
        <v>9550.9370905782562</v>
      </c>
    </row>
    <row r="624" spans="11:11" x14ac:dyDescent="0.45">
      <c r="K624">
        <v>11427.423558736366</v>
      </c>
    </row>
    <row r="625" spans="11:11" x14ac:dyDescent="0.45">
      <c r="K625">
        <v>12005.743454772624</v>
      </c>
    </row>
    <row r="626" spans="11:11" x14ac:dyDescent="0.45">
      <c r="K626">
        <v>15229.346734670064</v>
      </c>
    </row>
    <row r="627" spans="11:11" x14ac:dyDescent="0.45">
      <c r="K627">
        <v>20315.428480289946</v>
      </c>
    </row>
    <row r="628" spans="11:11" x14ac:dyDescent="0.45">
      <c r="K628">
        <v>13355.754155338525</v>
      </c>
    </row>
    <row r="629" spans="11:11" x14ac:dyDescent="0.45">
      <c r="K629">
        <v>19945.150083685967</v>
      </c>
    </row>
    <row r="630" spans="11:11" x14ac:dyDescent="0.45">
      <c r="K630">
        <v>21579.526051178444</v>
      </c>
    </row>
    <row r="631" spans="11:11" x14ac:dyDescent="0.45">
      <c r="K631">
        <v>7430.8228422897873</v>
      </c>
    </row>
    <row r="632" spans="11:11" x14ac:dyDescent="0.45">
      <c r="K632">
        <v>17262.151274770986</v>
      </c>
    </row>
    <row r="633" spans="11:11" x14ac:dyDescent="0.45">
      <c r="K633">
        <v>13749.478641723012</v>
      </c>
    </row>
    <row r="634" spans="11:11" x14ac:dyDescent="0.45">
      <c r="K634">
        <v>684.06836701441534</v>
      </c>
    </row>
    <row r="635" spans="11:11" x14ac:dyDescent="0.45">
      <c r="K635">
        <v>17263.370347634052</v>
      </c>
    </row>
    <row r="636" spans="11:11" x14ac:dyDescent="0.45">
      <c r="K636">
        <v>12603.587145545782</v>
      </c>
    </row>
    <row r="637" spans="11:11" x14ac:dyDescent="0.45">
      <c r="K637">
        <v>5374.204319192675</v>
      </c>
    </row>
    <row r="638" spans="11:11" x14ac:dyDescent="0.45">
      <c r="K638">
        <v>18620.011836620779</v>
      </c>
    </row>
    <row r="639" spans="11:11" x14ac:dyDescent="0.45">
      <c r="K639">
        <v>8253.5991675038567</v>
      </c>
    </row>
    <row r="640" spans="11:11" x14ac:dyDescent="0.45">
      <c r="K640">
        <v>9605.6395031407883</v>
      </c>
    </row>
    <row r="641" spans="11:11" x14ac:dyDescent="0.45">
      <c r="K641">
        <v>5773.0719286188059</v>
      </c>
    </row>
    <row r="642" spans="11:11" x14ac:dyDescent="0.45">
      <c r="K642">
        <v>14991.958055076686</v>
      </c>
    </row>
    <row r="643" spans="11:11" x14ac:dyDescent="0.45">
      <c r="K643">
        <v>9686.1994348153512</v>
      </c>
    </row>
    <row r="644" spans="11:11" x14ac:dyDescent="0.45">
      <c r="K644">
        <v>6919.4780067204474</v>
      </c>
    </row>
    <row r="645" spans="11:11" x14ac:dyDescent="0.45">
      <c r="K645">
        <v>16536.793112470205</v>
      </c>
    </row>
    <row r="646" spans="11:11" x14ac:dyDescent="0.45">
      <c r="K646">
        <v>10320.504596148301</v>
      </c>
    </row>
    <row r="647" spans="11:11" x14ac:dyDescent="0.45">
      <c r="K647">
        <v>16644.356487628014</v>
      </c>
    </row>
    <row r="648" spans="11:11" x14ac:dyDescent="0.45">
      <c r="K648">
        <v>11505.821332305639</v>
      </c>
    </row>
    <row r="649" spans="11:11" x14ac:dyDescent="0.45">
      <c r="K649">
        <v>16839.830782277004</v>
      </c>
    </row>
    <row r="650" spans="11:11" x14ac:dyDescent="0.45">
      <c r="K650">
        <v>10103.288362791454</v>
      </c>
    </row>
    <row r="651" spans="11:11" x14ac:dyDescent="0.45">
      <c r="K651">
        <v>2790.5379081049487</v>
      </c>
    </row>
    <row r="652" spans="11:11" x14ac:dyDescent="0.45">
      <c r="K652">
        <v>8388.4305170454954</v>
      </c>
    </row>
    <row r="653" spans="11:11" x14ac:dyDescent="0.45">
      <c r="K653">
        <v>15635.580554309534</v>
      </c>
    </row>
    <row r="654" spans="11:11" x14ac:dyDescent="0.45">
      <c r="K654">
        <v>29997.259034063562</v>
      </c>
    </row>
    <row r="655" spans="11:11" x14ac:dyDescent="0.45">
      <c r="K655">
        <v>10764.008487245999</v>
      </c>
    </row>
    <row r="656" spans="11:11" x14ac:dyDescent="0.45">
      <c r="K656">
        <v>23511.852730064275</v>
      </c>
    </row>
    <row r="657" spans="11:11" x14ac:dyDescent="0.45">
      <c r="K657">
        <v>15089.097357429306</v>
      </c>
    </row>
    <row r="658" spans="11:11" x14ac:dyDescent="0.45">
      <c r="K658">
        <v>6676.0089425645074</v>
      </c>
    </row>
    <row r="659" spans="11:11" x14ac:dyDescent="0.45">
      <c r="K659">
        <v>20584.088473376054</v>
      </c>
    </row>
    <row r="660" spans="11:11" x14ac:dyDescent="0.45">
      <c r="K660">
        <v>25874.118973511198</v>
      </c>
    </row>
    <row r="661" spans="11:11" x14ac:dyDescent="0.45">
      <c r="K661">
        <v>13211.969914892588</v>
      </c>
    </row>
    <row r="662" spans="11:11" x14ac:dyDescent="0.45">
      <c r="K662">
        <v>10567.040930641215</v>
      </c>
    </row>
    <row r="663" spans="11:11" x14ac:dyDescent="0.45">
      <c r="K663">
        <v>7342.9076296498597</v>
      </c>
    </row>
    <row r="664" spans="11:11" x14ac:dyDescent="0.45">
      <c r="K664">
        <v>6021.5906822456745</v>
      </c>
    </row>
    <row r="665" spans="11:11" x14ac:dyDescent="0.45">
      <c r="K665">
        <v>6021.4177446544672</v>
      </c>
    </row>
    <row r="666" spans="11:11" x14ac:dyDescent="0.45">
      <c r="K666">
        <v>14750.93980115619</v>
      </c>
    </row>
    <row r="667" spans="11:11" x14ac:dyDescent="0.45">
      <c r="K667">
        <v>16929.444227878063</v>
      </c>
    </row>
    <row r="668" spans="11:11" x14ac:dyDescent="0.45">
      <c r="K668">
        <v>30749.06674522904</v>
      </c>
    </row>
    <row r="669" spans="11:11" x14ac:dyDescent="0.45">
      <c r="K669">
        <v>31233.652205615865</v>
      </c>
    </row>
    <row r="670" spans="11:11" x14ac:dyDescent="0.45">
      <c r="K670">
        <v>9427.7071013028981</v>
      </c>
    </row>
    <row r="671" spans="11:11" x14ac:dyDescent="0.45">
      <c r="K671">
        <v>2625.1845997807959</v>
      </c>
    </row>
    <row r="672" spans="11:11" x14ac:dyDescent="0.45">
      <c r="K672">
        <v>9253.7863732641872</v>
      </c>
    </row>
    <row r="673" spans="11:11" x14ac:dyDescent="0.45">
      <c r="K673">
        <v>15165.178071800439</v>
      </c>
    </row>
    <row r="674" spans="11:11" x14ac:dyDescent="0.45">
      <c r="K674">
        <v>6652.7453160240393</v>
      </c>
    </row>
    <row r="675" spans="11:11" x14ac:dyDescent="0.45">
      <c r="K675">
        <v>20319.712959908196</v>
      </c>
    </row>
    <row r="676" spans="11:11" x14ac:dyDescent="0.45">
      <c r="K676">
        <v>18373.417679999668</v>
      </c>
    </row>
    <row r="677" spans="11:11" x14ac:dyDescent="0.45">
      <c r="K677">
        <v>13693.571356106284</v>
      </c>
    </row>
    <row r="678" spans="11:11" x14ac:dyDescent="0.45">
      <c r="K678">
        <v>15535.054012617382</v>
      </c>
    </row>
    <row r="679" spans="11:11" x14ac:dyDescent="0.45">
      <c r="K679">
        <v>10777.06593362059</v>
      </c>
    </row>
    <row r="680" spans="11:11" x14ac:dyDescent="0.45">
      <c r="K680">
        <v>28144.710282437689</v>
      </c>
    </row>
    <row r="681" spans="11:11" x14ac:dyDescent="0.45">
      <c r="K681">
        <v>16742.390111051976</v>
      </c>
    </row>
    <row r="682" spans="11:11" x14ac:dyDescent="0.45">
      <c r="K682">
        <v>7106.9045244610788</v>
      </c>
    </row>
    <row r="683" spans="11:11" x14ac:dyDescent="0.45">
      <c r="K683">
        <v>12881.024549615113</v>
      </c>
    </row>
    <row r="684" spans="11:11" x14ac:dyDescent="0.45">
      <c r="K684">
        <v>21113.303483071933</v>
      </c>
    </row>
    <row r="685" spans="11:11" x14ac:dyDescent="0.45">
      <c r="K685">
        <v>9329.7576257045748</v>
      </c>
    </row>
    <row r="686" spans="11:11" x14ac:dyDescent="0.45">
      <c r="K686">
        <v>4933.8508543357093</v>
      </c>
    </row>
    <row r="687" spans="11:11" x14ac:dyDescent="0.45">
      <c r="K687">
        <v>15252.94272904124</v>
      </c>
    </row>
    <row r="688" spans="11:11" x14ac:dyDescent="0.45">
      <c r="K688">
        <v>9220.4024042660512</v>
      </c>
    </row>
    <row r="689" spans="11:11" x14ac:dyDescent="0.45">
      <c r="K689">
        <v>16461.655979983596</v>
      </c>
    </row>
    <row r="690" spans="11:11" x14ac:dyDescent="0.45">
      <c r="K690">
        <v>6351.3984706991605</v>
      </c>
    </row>
    <row r="691" spans="11:11" x14ac:dyDescent="0.45">
      <c r="K691">
        <v>15783.969842423592</v>
      </c>
    </row>
    <row r="692" spans="11:11" x14ac:dyDescent="0.45">
      <c r="K692">
        <v>18221.590582606084</v>
      </c>
    </row>
    <row r="693" spans="11:11" x14ac:dyDescent="0.45">
      <c r="K693">
        <v>15783.498007134611</v>
      </c>
    </row>
    <row r="694" spans="11:11" x14ac:dyDescent="0.45">
      <c r="K694">
        <v>7853.6930323615052</v>
      </c>
    </row>
    <row r="695" spans="11:11" x14ac:dyDescent="0.45">
      <c r="K695">
        <v>7589.9754386843342</v>
      </c>
    </row>
    <row r="696" spans="11:11" x14ac:dyDescent="0.45">
      <c r="K696">
        <v>16856.831092971868</v>
      </c>
    </row>
    <row r="697" spans="11:11" x14ac:dyDescent="0.45">
      <c r="K697">
        <v>14921.744426645382</v>
      </c>
    </row>
    <row r="698" spans="11:11" x14ac:dyDescent="0.45">
      <c r="K698">
        <v>18859.171671597767</v>
      </c>
    </row>
    <row r="699" spans="11:11" x14ac:dyDescent="0.45">
      <c r="K699">
        <v>14141.305155060585</v>
      </c>
    </row>
    <row r="700" spans="11:11" x14ac:dyDescent="0.45">
      <c r="K700">
        <v>5444.3755022508094</v>
      </c>
    </row>
    <row r="701" spans="11:11" x14ac:dyDescent="0.45">
      <c r="K701">
        <v>21210.896434315102</v>
      </c>
    </row>
    <row r="702" spans="11:11" x14ac:dyDescent="0.45">
      <c r="K702">
        <v>22398.681973329192</v>
      </c>
    </row>
    <row r="703" spans="11:11" x14ac:dyDescent="0.45">
      <c r="K703">
        <v>15044.913916878784</v>
      </c>
    </row>
    <row r="704" spans="11:11" x14ac:dyDescent="0.45">
      <c r="K704">
        <v>11287.779725658642</v>
      </c>
    </row>
    <row r="705" spans="11:11" x14ac:dyDescent="0.45">
      <c r="K705">
        <v>18444.010215468592</v>
      </c>
    </row>
    <row r="706" spans="11:11" x14ac:dyDescent="0.45">
      <c r="K706">
        <v>4309.5946126647468</v>
      </c>
    </row>
    <row r="707" spans="11:11" x14ac:dyDescent="0.45">
      <c r="K707">
        <v>6748.8201144451905</v>
      </c>
    </row>
    <row r="708" spans="11:11" x14ac:dyDescent="0.45">
      <c r="K708">
        <v>9612.7465743028133</v>
      </c>
    </row>
    <row r="709" spans="11:11" x14ac:dyDescent="0.45">
      <c r="K709">
        <v>8039.8744404973795</v>
      </c>
    </row>
    <row r="710" spans="11:11" x14ac:dyDescent="0.45">
      <c r="K710">
        <v>15755.367267772897</v>
      </c>
    </row>
    <row r="711" spans="11:11" x14ac:dyDescent="0.45">
      <c r="K711">
        <v>24579.636087288447</v>
      </c>
    </row>
    <row r="712" spans="11:11" x14ac:dyDescent="0.45">
      <c r="K712">
        <v>21760.684982770632</v>
      </c>
    </row>
    <row r="713" spans="11:11" x14ac:dyDescent="0.45">
      <c r="K713">
        <v>21314.94153733904</v>
      </c>
    </row>
    <row r="714" spans="11:11" x14ac:dyDescent="0.45">
      <c r="K714">
        <v>11412.198308791467</v>
      </c>
    </row>
    <row r="715" spans="11:11" x14ac:dyDescent="0.45">
      <c r="K715">
        <v>10682.502962325969</v>
      </c>
    </row>
    <row r="716" spans="11:11" x14ac:dyDescent="0.45">
      <c r="K716">
        <v>14338.110816654471</v>
      </c>
    </row>
    <row r="717" spans="11:11" x14ac:dyDescent="0.45">
      <c r="K717">
        <v>11562.852753852181</v>
      </c>
    </row>
    <row r="718" spans="11:11" x14ac:dyDescent="0.45">
      <c r="K718">
        <v>15929.431602887289</v>
      </c>
    </row>
    <row r="719" spans="11:11" x14ac:dyDescent="0.45">
      <c r="K719">
        <v>12633.477675027591</v>
      </c>
    </row>
    <row r="720" spans="11:11" x14ac:dyDescent="0.45">
      <c r="K720">
        <v>3714.0835427275706</v>
      </c>
    </row>
    <row r="721" spans="11:11" x14ac:dyDescent="0.45">
      <c r="K721">
        <v>8854.8780295807392</v>
      </c>
    </row>
    <row r="722" spans="11:11" x14ac:dyDescent="0.45">
      <c r="K722">
        <v>12669.243321076203</v>
      </c>
    </row>
    <row r="723" spans="11:11" x14ac:dyDescent="0.45">
      <c r="K723">
        <v>12358.217418365792</v>
      </c>
    </row>
    <row r="724" spans="11:11" x14ac:dyDescent="0.45">
      <c r="K724">
        <v>5591.9366330484509</v>
      </c>
    </row>
    <row r="725" spans="11:11" x14ac:dyDescent="0.45">
      <c r="K725">
        <v>10101.208189762214</v>
      </c>
    </row>
    <row r="726" spans="11:11" x14ac:dyDescent="0.45">
      <c r="K726">
        <v>16205.130355310323</v>
      </c>
    </row>
    <row r="727" spans="11:11" x14ac:dyDescent="0.45">
      <c r="K727">
        <v>20418.878155939103</v>
      </c>
    </row>
    <row r="728" spans="11:11" x14ac:dyDescent="0.45">
      <c r="K728">
        <v>11810.126930555811</v>
      </c>
    </row>
    <row r="729" spans="11:11" x14ac:dyDescent="0.45">
      <c r="K729">
        <v>23120.238796047022</v>
      </c>
    </row>
    <row r="730" spans="11:11" x14ac:dyDescent="0.45">
      <c r="K730">
        <v>11563.385958665127</v>
      </c>
    </row>
    <row r="731" spans="11:11" x14ac:dyDescent="0.45">
      <c r="K731">
        <v>18385.203460227938</v>
      </c>
    </row>
    <row r="732" spans="11:11" x14ac:dyDescent="0.45">
      <c r="K732">
        <v>12890.500772574704</v>
      </c>
    </row>
    <row r="733" spans="11:11" x14ac:dyDescent="0.45">
      <c r="K733">
        <v>13496.866837702288</v>
      </c>
    </row>
    <row r="734" spans="11:11" x14ac:dyDescent="0.45">
      <c r="K734">
        <v>2374.3375252134229</v>
      </c>
    </row>
    <row r="735" spans="11:11" x14ac:dyDescent="0.45">
      <c r="K735">
        <v>6912.8008822421489</v>
      </c>
    </row>
    <row r="736" spans="11:11" x14ac:dyDescent="0.45">
      <c r="K736">
        <v>2417.497029573231</v>
      </c>
    </row>
    <row r="737" spans="11:11" x14ac:dyDescent="0.45">
      <c r="K737">
        <v>4146.9931674830768</v>
      </c>
    </row>
    <row r="738" spans="11:11" x14ac:dyDescent="0.45">
      <c r="K738">
        <v>8518.7081021962076</v>
      </c>
    </row>
    <row r="739" spans="11:11" x14ac:dyDescent="0.45">
      <c r="K739">
        <v>0</v>
      </c>
    </row>
    <row r="740" spans="11:11" x14ac:dyDescent="0.45">
      <c r="K740">
        <v>16891.774377439651</v>
      </c>
    </row>
    <row r="741" spans="11:11" x14ac:dyDescent="0.45">
      <c r="K741">
        <v>9512.2270057299684</v>
      </c>
    </row>
    <row r="742" spans="11:11" x14ac:dyDescent="0.45">
      <c r="K742">
        <v>11485.87348792611</v>
      </c>
    </row>
    <row r="743" spans="11:11" x14ac:dyDescent="0.45">
      <c r="K743">
        <v>5404.8345001816315</v>
      </c>
    </row>
    <row r="744" spans="11:11" x14ac:dyDescent="0.45">
      <c r="K744">
        <v>5191.3832269616951</v>
      </c>
    </row>
    <row r="745" spans="11:11" x14ac:dyDescent="0.45">
      <c r="K745">
        <v>12241.804825972235</v>
      </c>
    </row>
    <row r="746" spans="11:11" x14ac:dyDescent="0.45">
      <c r="K746">
        <v>18576.265952261179</v>
      </c>
    </row>
    <row r="747" spans="11:11" x14ac:dyDescent="0.45">
      <c r="K747">
        <v>4599.7592472518791</v>
      </c>
    </row>
    <row r="748" spans="11:11" x14ac:dyDescent="0.45">
      <c r="K748">
        <v>17031.607199903952</v>
      </c>
    </row>
    <row r="749" spans="11:11" x14ac:dyDescent="0.45">
      <c r="K749">
        <v>0</v>
      </c>
    </row>
    <row r="750" spans="11:11" x14ac:dyDescent="0.45">
      <c r="K750">
        <v>12615.136253408504</v>
      </c>
    </row>
    <row r="751" spans="11:11" x14ac:dyDescent="0.45">
      <c r="K751">
        <v>4761.4904255910733</v>
      </c>
    </row>
    <row r="752" spans="11:11" x14ac:dyDescent="0.45">
      <c r="K752">
        <v>6720.9968651590916</v>
      </c>
    </row>
    <row r="753" spans="11:11" x14ac:dyDescent="0.45">
      <c r="K753">
        <v>16690.01166485716</v>
      </c>
    </row>
    <row r="754" spans="11:11" x14ac:dyDescent="0.45">
      <c r="K754">
        <v>17877.957216632236</v>
      </c>
    </row>
    <row r="755" spans="11:11" x14ac:dyDescent="0.45">
      <c r="K755">
        <v>8885.3646403328603</v>
      </c>
    </row>
    <row r="756" spans="11:11" x14ac:dyDescent="0.45">
      <c r="K756">
        <v>2879.1265649860252</v>
      </c>
    </row>
    <row r="757" spans="11:11" x14ac:dyDescent="0.45">
      <c r="K757">
        <v>14697.67156832175</v>
      </c>
    </row>
    <row r="758" spans="11:11" x14ac:dyDescent="0.45">
      <c r="K758">
        <v>11800.706766030637</v>
      </c>
    </row>
    <row r="759" spans="11:11" x14ac:dyDescent="0.45">
      <c r="K759">
        <v>12751.227111759186</v>
      </c>
    </row>
    <row r="760" spans="11:11" x14ac:dyDescent="0.45">
      <c r="K760">
        <v>24318.869527151823</v>
      </c>
    </row>
    <row r="761" spans="11:11" x14ac:dyDescent="0.45">
      <c r="K761">
        <v>4309.6958045913925</v>
      </c>
    </row>
    <row r="762" spans="11:11" x14ac:dyDescent="0.45">
      <c r="K762">
        <v>15083.94416687698</v>
      </c>
    </row>
    <row r="763" spans="11:11" x14ac:dyDescent="0.45">
      <c r="K763">
        <v>5543.211150921371</v>
      </c>
    </row>
    <row r="764" spans="11:11" x14ac:dyDescent="0.45">
      <c r="K764">
        <v>9228.2633522265605</v>
      </c>
    </row>
    <row r="765" spans="11:11" x14ac:dyDescent="0.45">
      <c r="K765">
        <v>13447.295527666571</v>
      </c>
    </row>
    <row r="766" spans="11:11" x14ac:dyDescent="0.45">
      <c r="K766">
        <v>19818.803845453462</v>
      </c>
    </row>
    <row r="767" spans="11:11" x14ac:dyDescent="0.45">
      <c r="K767">
        <v>16727.265456805912</v>
      </c>
    </row>
    <row r="768" spans="11:11" x14ac:dyDescent="0.45">
      <c r="K768">
        <v>18580.104527252912</v>
      </c>
    </row>
    <row r="769" spans="11:11" x14ac:dyDescent="0.45">
      <c r="K769">
        <v>8627.1286369006721</v>
      </c>
    </row>
    <row r="770" spans="11:11" x14ac:dyDescent="0.45">
      <c r="K770">
        <v>19889.640133802277</v>
      </c>
    </row>
    <row r="771" spans="11:11" x14ac:dyDescent="0.45">
      <c r="K771">
        <v>9912.4496658745265</v>
      </c>
    </row>
    <row r="772" spans="11:11" x14ac:dyDescent="0.45">
      <c r="K772">
        <v>24689.662800465612</v>
      </c>
    </row>
    <row r="773" spans="11:11" x14ac:dyDescent="0.45">
      <c r="K773">
        <v>19663.733394008064</v>
      </c>
    </row>
    <row r="774" spans="11:11" x14ac:dyDescent="0.45">
      <c r="K774">
        <v>21632.355128777665</v>
      </c>
    </row>
    <row r="775" spans="11:11" x14ac:dyDescent="0.45">
      <c r="K775">
        <v>16664.125481859315</v>
      </c>
    </row>
    <row r="776" spans="11:11" x14ac:dyDescent="0.45">
      <c r="K776">
        <v>15679.124389598079</v>
      </c>
    </row>
    <row r="777" spans="11:11" x14ac:dyDescent="0.45">
      <c r="K777">
        <v>13264.530967026541</v>
      </c>
    </row>
    <row r="778" spans="11:11" x14ac:dyDescent="0.45">
      <c r="K778">
        <v>10678.536556817082</v>
      </c>
    </row>
    <row r="779" spans="11:11" x14ac:dyDescent="0.45">
      <c r="K779">
        <v>12645.34722007458</v>
      </c>
    </row>
    <row r="780" spans="11:11" x14ac:dyDescent="0.45">
      <c r="K780">
        <v>16571.715353208059</v>
      </c>
    </row>
    <row r="781" spans="11:11" x14ac:dyDescent="0.45">
      <c r="K781">
        <v>6886.8451042725337</v>
      </c>
    </row>
    <row r="782" spans="11:11" x14ac:dyDescent="0.45">
      <c r="K782">
        <v>11089.563157038181</v>
      </c>
    </row>
    <row r="783" spans="11:11" x14ac:dyDescent="0.45">
      <c r="K783">
        <v>7786.7219443812855</v>
      </c>
    </row>
    <row r="784" spans="11:11" x14ac:dyDescent="0.45">
      <c r="K784">
        <v>9180.8625276088424</v>
      </c>
    </row>
    <row r="785" spans="11:11" x14ac:dyDescent="0.45">
      <c r="K785">
        <v>9340.0499168986826</v>
      </c>
    </row>
    <row r="786" spans="11:11" x14ac:dyDescent="0.45">
      <c r="K786">
        <v>9500.9753022686928</v>
      </c>
    </row>
    <row r="787" spans="11:11" x14ac:dyDescent="0.45">
      <c r="K787">
        <v>12738.501531884292</v>
      </c>
    </row>
    <row r="788" spans="11:11" x14ac:dyDescent="0.45">
      <c r="K788">
        <v>16660.061422020997</v>
      </c>
    </row>
    <row r="789" spans="11:11" x14ac:dyDescent="0.45">
      <c r="K789">
        <v>11014.385112462345</v>
      </c>
    </row>
    <row r="790" spans="11:11" x14ac:dyDescent="0.45">
      <c r="K790">
        <v>14518.886733345567</v>
      </c>
    </row>
    <row r="791" spans="11:11" x14ac:dyDescent="0.45">
      <c r="K791">
        <v>239.31924333288225</v>
      </c>
    </row>
    <row r="792" spans="11:11" x14ac:dyDescent="0.45">
      <c r="K792">
        <v>14729.055447189101</v>
      </c>
    </row>
    <row r="793" spans="11:11" x14ac:dyDescent="0.45">
      <c r="K793">
        <v>11515.646093415671</v>
      </c>
    </row>
    <row r="794" spans="11:11" x14ac:dyDescent="0.45">
      <c r="K794">
        <v>12468.428548956725</v>
      </c>
    </row>
    <row r="795" spans="11:11" x14ac:dyDescent="0.45">
      <c r="K795">
        <v>14274.690933847804</v>
      </c>
    </row>
    <row r="796" spans="11:11" x14ac:dyDescent="0.45">
      <c r="K796">
        <v>19645.599999351871</v>
      </c>
    </row>
    <row r="797" spans="11:11" x14ac:dyDescent="0.45">
      <c r="K797">
        <v>22341.405714479664</v>
      </c>
    </row>
    <row r="798" spans="11:11" x14ac:dyDescent="0.45">
      <c r="K798">
        <v>14657.019963571571</v>
      </c>
    </row>
    <row r="799" spans="11:11" x14ac:dyDescent="0.45">
      <c r="K799">
        <v>18063.367827297512</v>
      </c>
    </row>
    <row r="800" spans="11:11" x14ac:dyDescent="0.45">
      <c r="K800">
        <v>5915.0483643497882</v>
      </c>
    </row>
    <row r="801" spans="11:11" x14ac:dyDescent="0.45">
      <c r="K801">
        <v>7724.5570937592647</v>
      </c>
    </row>
    <row r="802" spans="11:11" x14ac:dyDescent="0.45">
      <c r="K802">
        <v>7525.038171319331</v>
      </c>
    </row>
    <row r="803" spans="11:11" x14ac:dyDescent="0.45">
      <c r="K803">
        <v>9313.068684082953</v>
      </c>
    </row>
    <row r="804" spans="11:11" x14ac:dyDescent="0.45">
      <c r="K804">
        <v>14737.578288935709</v>
      </c>
    </row>
    <row r="805" spans="11:11" x14ac:dyDescent="0.45">
      <c r="K805">
        <v>24515.799352164868</v>
      </c>
    </row>
    <row r="806" spans="11:11" x14ac:dyDescent="0.45">
      <c r="K806">
        <v>8783.9545340335844</v>
      </c>
    </row>
    <row r="807" spans="11:11" x14ac:dyDescent="0.45">
      <c r="K807">
        <v>2747.7445443592223</v>
      </c>
    </row>
    <row r="808" spans="11:11" x14ac:dyDescent="0.45">
      <c r="K808">
        <v>6144.6273303739736</v>
      </c>
    </row>
    <row r="809" spans="11:11" x14ac:dyDescent="0.45">
      <c r="K809">
        <v>9082.4750131793189</v>
      </c>
    </row>
    <row r="810" spans="11:11" x14ac:dyDescent="0.45">
      <c r="K810">
        <v>10410.627614874966</v>
      </c>
    </row>
    <row r="811" spans="11:11" x14ac:dyDescent="0.45">
      <c r="K811">
        <v>3127.3648349123487</v>
      </c>
    </row>
    <row r="812" spans="11:11" x14ac:dyDescent="0.45">
      <c r="K812">
        <v>7778.1821010608382</v>
      </c>
    </row>
    <row r="813" spans="11:11" x14ac:dyDescent="0.45">
      <c r="K813">
        <v>18084.354495442974</v>
      </c>
    </row>
    <row r="814" spans="11:11" x14ac:dyDescent="0.45">
      <c r="K814">
        <v>17013.235887105795</v>
      </c>
    </row>
    <row r="815" spans="11:11" x14ac:dyDescent="0.45">
      <c r="K815">
        <v>14875.134828377044</v>
      </c>
    </row>
    <row r="816" spans="11:11" x14ac:dyDescent="0.45">
      <c r="K816">
        <v>14952.318604800894</v>
      </c>
    </row>
    <row r="817" spans="11:11" x14ac:dyDescent="0.45">
      <c r="K817">
        <v>9345.9440483843719</v>
      </c>
    </row>
    <row r="818" spans="11:11" x14ac:dyDescent="0.45">
      <c r="K818">
        <v>10034.618559892224</v>
      </c>
    </row>
    <row r="819" spans="11:11" x14ac:dyDescent="0.45">
      <c r="K819">
        <v>8814.2082391022741</v>
      </c>
    </row>
    <row r="820" spans="11:11" x14ac:dyDescent="0.45">
      <c r="K820">
        <v>17278.651758066477</v>
      </c>
    </row>
    <row r="821" spans="11:11" x14ac:dyDescent="0.45">
      <c r="K821">
        <v>18340.237345185811</v>
      </c>
    </row>
    <row r="822" spans="11:11" x14ac:dyDescent="0.45">
      <c r="K822">
        <v>9875.3669213663943</v>
      </c>
    </row>
    <row r="823" spans="11:11" x14ac:dyDescent="0.45">
      <c r="K823">
        <v>24010.590435973249</v>
      </c>
    </row>
    <row r="824" spans="11:11" x14ac:dyDescent="0.45">
      <c r="K824">
        <v>20947.374940525817</v>
      </c>
    </row>
    <row r="825" spans="11:11" x14ac:dyDescent="0.45">
      <c r="K825">
        <v>6418.2985190386325</v>
      </c>
    </row>
    <row r="826" spans="11:11" x14ac:dyDescent="0.45">
      <c r="K826">
        <v>0</v>
      </c>
    </row>
    <row r="827" spans="11:11" x14ac:dyDescent="0.45">
      <c r="K827">
        <v>0</v>
      </c>
    </row>
    <row r="828" spans="11:11" x14ac:dyDescent="0.45">
      <c r="K828">
        <v>3451.0605143586799</v>
      </c>
    </row>
    <row r="829" spans="11:11" x14ac:dyDescent="0.45">
      <c r="K829">
        <v>11223.644893008908</v>
      </c>
    </row>
    <row r="830" spans="11:11" x14ac:dyDescent="0.45">
      <c r="K830">
        <v>11612.161149052778</v>
      </c>
    </row>
    <row r="831" spans="11:11" x14ac:dyDescent="0.45">
      <c r="K831">
        <v>20481.934068938332</v>
      </c>
    </row>
    <row r="832" spans="11:11" x14ac:dyDescent="0.45">
      <c r="K832">
        <v>8311.4776064558428</v>
      </c>
    </row>
    <row r="833" spans="11:11" x14ac:dyDescent="0.45">
      <c r="K833">
        <v>13710.70955071587</v>
      </c>
    </row>
    <row r="834" spans="11:11" x14ac:dyDescent="0.45">
      <c r="K834">
        <v>18308.796062842448</v>
      </c>
    </row>
    <row r="835" spans="11:11" x14ac:dyDescent="0.45">
      <c r="K835">
        <v>6855.0192517919913</v>
      </c>
    </row>
    <row r="836" spans="11:11" x14ac:dyDescent="0.45">
      <c r="K836">
        <v>10791.047516018261</v>
      </c>
    </row>
    <row r="837" spans="11:11" x14ac:dyDescent="0.45">
      <c r="K837">
        <v>14079.79928394236</v>
      </c>
    </row>
    <row r="838" spans="11:11" x14ac:dyDescent="0.45">
      <c r="K838">
        <v>22668.963928438701</v>
      </c>
    </row>
    <row r="839" spans="11:11" x14ac:dyDescent="0.45">
      <c r="K839">
        <v>21259.046807209128</v>
      </c>
    </row>
    <row r="840" spans="11:11" x14ac:dyDescent="0.45">
      <c r="K840">
        <v>10248.584270501946</v>
      </c>
    </row>
    <row r="841" spans="11:11" x14ac:dyDescent="0.45">
      <c r="K841">
        <v>10624.299944898781</v>
      </c>
    </row>
    <row r="842" spans="11:11" x14ac:dyDescent="0.45">
      <c r="K842">
        <v>15914.298226109206</v>
      </c>
    </row>
    <row r="843" spans="11:11" x14ac:dyDescent="0.45">
      <c r="K843">
        <v>23062.858829642813</v>
      </c>
    </row>
    <row r="844" spans="11:11" x14ac:dyDescent="0.45">
      <c r="K844">
        <v>27914.078608885196</v>
      </c>
    </row>
    <row r="845" spans="11:11" x14ac:dyDescent="0.45">
      <c r="K845">
        <v>11971.367824136049</v>
      </c>
    </row>
    <row r="846" spans="11:11" x14ac:dyDescent="0.45">
      <c r="K846">
        <v>12833.671039246639</v>
      </c>
    </row>
    <row r="847" spans="11:11" x14ac:dyDescent="0.45">
      <c r="K847">
        <v>4867.0498524621908</v>
      </c>
    </row>
    <row r="848" spans="11:11" x14ac:dyDescent="0.45">
      <c r="K848">
        <v>17099.961548462881</v>
      </c>
    </row>
    <row r="849" spans="11:11" x14ac:dyDescent="0.45">
      <c r="K849">
        <v>25206.465175079466</v>
      </c>
    </row>
    <row r="850" spans="11:11" x14ac:dyDescent="0.45">
      <c r="K850">
        <v>14054.435426742974</v>
      </c>
    </row>
    <row r="851" spans="11:11" x14ac:dyDescent="0.45">
      <c r="K851">
        <v>9980.4021428786491</v>
      </c>
    </row>
    <row r="852" spans="11:11" x14ac:dyDescent="0.45">
      <c r="K852">
        <v>15517.14725052824</v>
      </c>
    </row>
    <row r="853" spans="11:11" x14ac:dyDescent="0.45">
      <c r="K853">
        <v>3678.9703727868382</v>
      </c>
    </row>
    <row r="854" spans="11:11" x14ac:dyDescent="0.45">
      <c r="K854">
        <v>7667.4391978417425</v>
      </c>
    </row>
    <row r="855" spans="11:11" x14ac:dyDescent="0.45">
      <c r="K855">
        <v>11697.823859854365</v>
      </c>
    </row>
    <row r="856" spans="11:11" x14ac:dyDescent="0.45">
      <c r="K856">
        <v>10913.038089652242</v>
      </c>
    </row>
    <row r="857" spans="11:11" x14ac:dyDescent="0.45">
      <c r="K857">
        <v>465.12390740416413</v>
      </c>
    </row>
    <row r="858" spans="11:11" x14ac:dyDescent="0.45">
      <c r="K858">
        <v>20562.485367882909</v>
      </c>
    </row>
    <row r="859" spans="11:11" x14ac:dyDescent="0.45">
      <c r="K859">
        <v>5172.006023205513</v>
      </c>
    </row>
    <row r="860" spans="11:11" x14ac:dyDescent="0.45">
      <c r="K860">
        <v>15286.574765259353</v>
      </c>
    </row>
    <row r="861" spans="11:11" x14ac:dyDescent="0.45">
      <c r="K861">
        <v>24047.509366272046</v>
      </c>
    </row>
    <row r="862" spans="11:11" x14ac:dyDescent="0.45">
      <c r="K862">
        <v>7407.8380360342671</v>
      </c>
    </row>
    <row r="863" spans="11:11" x14ac:dyDescent="0.45">
      <c r="K863">
        <v>15145.685538248732</v>
      </c>
    </row>
    <row r="864" spans="11:11" x14ac:dyDescent="0.45">
      <c r="K864">
        <v>16736.762222720095</v>
      </c>
    </row>
    <row r="865" spans="11:11" x14ac:dyDescent="0.45">
      <c r="K865">
        <v>25940.535017255257</v>
      </c>
    </row>
    <row r="866" spans="11:11" x14ac:dyDescent="0.45">
      <c r="K866">
        <v>11397.496851266425</v>
      </c>
    </row>
    <row r="867" spans="11:11" x14ac:dyDescent="0.45">
      <c r="K867">
        <v>11425.875678633118</v>
      </c>
    </row>
    <row r="868" spans="11:11" x14ac:dyDescent="0.45">
      <c r="K868">
        <v>17230.674535743085</v>
      </c>
    </row>
    <row r="869" spans="11:11" x14ac:dyDescent="0.45">
      <c r="K869">
        <v>15291.808441027135</v>
      </c>
    </row>
    <row r="870" spans="11:11" x14ac:dyDescent="0.45">
      <c r="K870">
        <v>19232.834332652208</v>
      </c>
    </row>
    <row r="871" spans="11:11" x14ac:dyDescent="0.45">
      <c r="K871">
        <v>15966.258278527785</v>
      </c>
    </row>
    <row r="872" spans="11:11" x14ac:dyDescent="0.45">
      <c r="K872">
        <v>19225.86005648271</v>
      </c>
    </row>
    <row r="873" spans="11:11" x14ac:dyDescent="0.45">
      <c r="K873">
        <v>21231.683394399359</v>
      </c>
    </row>
    <row r="874" spans="11:11" x14ac:dyDescent="0.45">
      <c r="K874">
        <v>8661.6724929121374</v>
      </c>
    </row>
    <row r="875" spans="11:11" x14ac:dyDescent="0.45">
      <c r="K875">
        <v>7774.7470907530687</v>
      </c>
    </row>
    <row r="876" spans="11:11" x14ac:dyDescent="0.45">
      <c r="K876">
        <v>23000.726284439581</v>
      </c>
    </row>
    <row r="877" spans="11:11" x14ac:dyDescent="0.45">
      <c r="K877">
        <v>18819.457070112632</v>
      </c>
    </row>
    <row r="878" spans="11:11" x14ac:dyDescent="0.45">
      <c r="K878">
        <v>5609.4124986374118</v>
      </c>
    </row>
    <row r="879" spans="11:11" x14ac:dyDescent="0.45">
      <c r="K879">
        <v>23488.843204757006</v>
      </c>
    </row>
    <row r="880" spans="11:11" x14ac:dyDescent="0.45">
      <c r="K880">
        <v>20997.390784611511</v>
      </c>
    </row>
    <row r="881" spans="11:11" x14ac:dyDescent="0.45">
      <c r="K881">
        <v>15802.13280797597</v>
      </c>
    </row>
    <row r="882" spans="11:11" x14ac:dyDescent="0.45">
      <c r="K882">
        <v>14383.5811546395</v>
      </c>
    </row>
    <row r="883" spans="11:11" x14ac:dyDescent="0.45">
      <c r="K883">
        <v>1742.0677854080914</v>
      </c>
    </row>
    <row r="884" spans="11:11" x14ac:dyDescent="0.45">
      <c r="K884">
        <v>10965.343865410525</v>
      </c>
    </row>
    <row r="885" spans="11:11" x14ac:dyDescent="0.45">
      <c r="K885">
        <v>16330.826648508621</v>
      </c>
    </row>
    <row r="886" spans="11:11" x14ac:dyDescent="0.45">
      <c r="K886">
        <v>11902.415424543486</v>
      </c>
    </row>
    <row r="887" spans="11:11" x14ac:dyDescent="0.45">
      <c r="K887">
        <v>12027.787931775663</v>
      </c>
    </row>
    <row r="888" spans="11:11" x14ac:dyDescent="0.45">
      <c r="K888">
        <v>6905.1670050395696</v>
      </c>
    </row>
    <row r="889" spans="11:11" x14ac:dyDescent="0.45">
      <c r="K889">
        <v>14573.216538838878</v>
      </c>
    </row>
    <row r="890" spans="11:11" x14ac:dyDescent="0.45">
      <c r="K890">
        <v>13604.755601279367</v>
      </c>
    </row>
    <row r="891" spans="11:11" x14ac:dyDescent="0.45">
      <c r="K891">
        <v>13678.697378311728</v>
      </c>
    </row>
    <row r="892" spans="11:11" x14ac:dyDescent="0.45">
      <c r="K892">
        <v>12186.177167970282</v>
      </c>
    </row>
    <row r="893" spans="11:11" x14ac:dyDescent="0.45">
      <c r="K893">
        <v>407.82588396288156</v>
      </c>
    </row>
    <row r="894" spans="11:11" x14ac:dyDescent="0.45">
      <c r="K894">
        <v>6514.0660734335215</v>
      </c>
    </row>
    <row r="895" spans="11:11" x14ac:dyDescent="0.45">
      <c r="K895">
        <v>12609.248266550023</v>
      </c>
    </row>
    <row r="896" spans="11:11" x14ac:dyDescent="0.45">
      <c r="K896">
        <v>14169.833170107135</v>
      </c>
    </row>
    <row r="897" spans="11:11" x14ac:dyDescent="0.45">
      <c r="K897">
        <v>6703.4805432257372</v>
      </c>
    </row>
    <row r="898" spans="11:11" x14ac:dyDescent="0.45">
      <c r="K898">
        <v>15007.302085592528</v>
      </c>
    </row>
    <row r="899" spans="11:11" x14ac:dyDescent="0.45">
      <c r="K899">
        <v>22111.459784539133</v>
      </c>
    </row>
    <row r="900" spans="11:11" x14ac:dyDescent="0.45">
      <c r="K900">
        <v>6688.3211264374277</v>
      </c>
    </row>
    <row r="901" spans="11:11" x14ac:dyDescent="0.45">
      <c r="K901">
        <v>12123.218711424877</v>
      </c>
    </row>
    <row r="902" spans="11:11" x14ac:dyDescent="0.45">
      <c r="K902">
        <v>14433.20977630882</v>
      </c>
    </row>
    <row r="903" spans="11:11" x14ac:dyDescent="0.45">
      <c r="K903">
        <v>17760.806522400097</v>
      </c>
    </row>
    <row r="904" spans="11:11" x14ac:dyDescent="0.45">
      <c r="K904">
        <v>19513.753028811712</v>
      </c>
    </row>
    <row r="905" spans="11:11" x14ac:dyDescent="0.45">
      <c r="K905">
        <v>4357.8886077254883</v>
      </c>
    </row>
    <row r="906" spans="11:11" x14ac:dyDescent="0.45">
      <c r="K906">
        <v>15038.763225050398</v>
      </c>
    </row>
    <row r="907" spans="11:11" x14ac:dyDescent="0.45">
      <c r="K907">
        <v>9446.2883767069543</v>
      </c>
    </row>
    <row r="908" spans="11:11" x14ac:dyDescent="0.45">
      <c r="K908">
        <v>12818.927520446792</v>
      </c>
    </row>
    <row r="909" spans="11:11" x14ac:dyDescent="0.45">
      <c r="K909">
        <v>18347.051913766161</v>
      </c>
    </row>
    <row r="910" spans="11:11" x14ac:dyDescent="0.45">
      <c r="K910">
        <v>15010.669064271277</v>
      </c>
    </row>
    <row r="911" spans="11:11" x14ac:dyDescent="0.45">
      <c r="K911">
        <v>24747.653419626829</v>
      </c>
    </row>
    <row r="912" spans="11:11" x14ac:dyDescent="0.45">
      <c r="K912">
        <v>12189.417122805891</v>
      </c>
    </row>
    <row r="913" spans="11:11" x14ac:dyDescent="0.45">
      <c r="K913">
        <v>10445.950165913404</v>
      </c>
    </row>
    <row r="914" spans="11:11" x14ac:dyDescent="0.45">
      <c r="K914">
        <v>12529.665170246264</v>
      </c>
    </row>
    <row r="915" spans="11:11" x14ac:dyDescent="0.45">
      <c r="K915">
        <v>4714.4225062689275</v>
      </c>
    </row>
    <row r="916" spans="11:11" x14ac:dyDescent="0.45">
      <c r="K916">
        <v>20829.639187822831</v>
      </c>
    </row>
    <row r="917" spans="11:11" x14ac:dyDescent="0.45">
      <c r="K917">
        <v>18951.270017309682</v>
      </c>
    </row>
    <row r="918" spans="11:11" x14ac:dyDescent="0.45">
      <c r="K918">
        <v>5843.7374748298998</v>
      </c>
    </row>
    <row r="919" spans="11:11" x14ac:dyDescent="0.45">
      <c r="K919">
        <v>17588.501913789743</v>
      </c>
    </row>
    <row r="920" spans="11:11" x14ac:dyDescent="0.45">
      <c r="K920">
        <v>15193.377911494126</v>
      </c>
    </row>
    <row r="921" spans="11:11" x14ac:dyDescent="0.45">
      <c r="K921">
        <v>18808.567953376598</v>
      </c>
    </row>
    <row r="922" spans="11:11" x14ac:dyDescent="0.45">
      <c r="K922">
        <v>13094.411528900187</v>
      </c>
    </row>
    <row r="923" spans="11:11" x14ac:dyDescent="0.45">
      <c r="K923">
        <v>10267.172525679751</v>
      </c>
    </row>
    <row r="924" spans="11:11" x14ac:dyDescent="0.45">
      <c r="K924">
        <v>2430.5149825678782</v>
      </c>
    </row>
    <row r="925" spans="11:11" x14ac:dyDescent="0.45">
      <c r="K925">
        <v>13431.610348978875</v>
      </c>
    </row>
    <row r="926" spans="11:11" x14ac:dyDescent="0.45">
      <c r="K926">
        <v>22272.880851897047</v>
      </c>
    </row>
    <row r="927" spans="11:11" x14ac:dyDescent="0.45">
      <c r="K927">
        <v>2838.4008291430455</v>
      </c>
    </row>
    <row r="928" spans="11:11" x14ac:dyDescent="0.45">
      <c r="K928">
        <v>21143.743425788387</v>
      </c>
    </row>
    <row r="929" spans="11:11" x14ac:dyDescent="0.45">
      <c r="K929">
        <v>29382.200918887309</v>
      </c>
    </row>
    <row r="930" spans="11:11" x14ac:dyDescent="0.45">
      <c r="K930">
        <v>7241.765777123881</v>
      </c>
    </row>
    <row r="931" spans="11:11" x14ac:dyDescent="0.45">
      <c r="K931">
        <v>6363.611678953057</v>
      </c>
    </row>
    <row r="932" spans="11:11" x14ac:dyDescent="0.45">
      <c r="K932">
        <v>8001.2046173862545</v>
      </c>
    </row>
    <row r="933" spans="11:11" x14ac:dyDescent="0.45">
      <c r="K933">
        <v>18610.956022918515</v>
      </c>
    </row>
    <row r="934" spans="11:11" x14ac:dyDescent="0.45">
      <c r="K934">
        <v>13639.53843335111</v>
      </c>
    </row>
    <row r="935" spans="11:11" x14ac:dyDescent="0.45">
      <c r="K935">
        <v>9471.0138797732016</v>
      </c>
    </row>
    <row r="936" spans="11:11" x14ac:dyDescent="0.45">
      <c r="K936">
        <v>16764.749601423369</v>
      </c>
    </row>
    <row r="937" spans="11:11" x14ac:dyDescent="0.45">
      <c r="K937">
        <v>20744.617684643217</v>
      </c>
    </row>
    <row r="938" spans="11:11" x14ac:dyDescent="0.45">
      <c r="K938">
        <v>19233.170324957253</v>
      </c>
    </row>
    <row r="939" spans="11:11" x14ac:dyDescent="0.45">
      <c r="K939">
        <v>569.46145473711658</v>
      </c>
    </row>
    <row r="940" spans="11:11" x14ac:dyDescent="0.45">
      <c r="K940">
        <v>10220.778408737206</v>
      </c>
    </row>
    <row r="941" spans="11:11" x14ac:dyDescent="0.45">
      <c r="K941">
        <v>17287.624255800492</v>
      </c>
    </row>
    <row r="942" spans="11:11" x14ac:dyDescent="0.45">
      <c r="K942">
        <v>21543.233584461923</v>
      </c>
    </row>
    <row r="943" spans="11:11" x14ac:dyDescent="0.45">
      <c r="K943">
        <v>6499.4680840365627</v>
      </c>
    </row>
    <row r="944" spans="11:11" x14ac:dyDescent="0.45">
      <c r="K944">
        <v>18219.144643695465</v>
      </c>
    </row>
    <row r="945" spans="11:11" x14ac:dyDescent="0.45">
      <c r="K945">
        <v>4445.9036443059595</v>
      </c>
    </row>
    <row r="946" spans="11:11" x14ac:dyDescent="0.45">
      <c r="K946">
        <v>14750.580799460249</v>
      </c>
    </row>
    <row r="947" spans="11:11" x14ac:dyDescent="0.45">
      <c r="K947">
        <v>19427.419946296832</v>
      </c>
    </row>
    <row r="948" spans="11:11" x14ac:dyDescent="0.45">
      <c r="K948">
        <v>8186.3643887816361</v>
      </c>
    </row>
    <row r="949" spans="11:11" x14ac:dyDescent="0.45">
      <c r="K949">
        <v>9626.6398897008548</v>
      </c>
    </row>
    <row r="950" spans="11:11" x14ac:dyDescent="0.45">
      <c r="K950">
        <v>14498.691570644747</v>
      </c>
    </row>
    <row r="951" spans="11:11" x14ac:dyDescent="0.45">
      <c r="K951">
        <v>12977.263800002513</v>
      </c>
    </row>
    <row r="952" spans="11:11" x14ac:dyDescent="0.45">
      <c r="K952">
        <v>8910.8094769833733</v>
      </c>
    </row>
    <row r="953" spans="11:11" x14ac:dyDescent="0.45">
      <c r="K953">
        <v>8573.2676122976045</v>
      </c>
    </row>
    <row r="954" spans="11:11" x14ac:dyDescent="0.45">
      <c r="K954">
        <v>5831.6011769445549</v>
      </c>
    </row>
    <row r="955" spans="11:11" x14ac:dyDescent="0.45">
      <c r="K955">
        <v>8091.1252673766085</v>
      </c>
    </row>
    <row r="956" spans="11:11" x14ac:dyDescent="0.45">
      <c r="K956">
        <v>15315.838768852114</v>
      </c>
    </row>
    <row r="957" spans="11:11" x14ac:dyDescent="0.45">
      <c r="K957">
        <v>18894.289272008064</v>
      </c>
    </row>
    <row r="958" spans="11:11" x14ac:dyDescent="0.45">
      <c r="K958">
        <v>19411.00953716414</v>
      </c>
    </row>
    <row r="959" spans="11:11" x14ac:dyDescent="0.45">
      <c r="K959">
        <v>13752.774253522093</v>
      </c>
    </row>
    <row r="960" spans="11:11" x14ac:dyDescent="0.45">
      <c r="K960">
        <v>17352.920560289596</v>
      </c>
    </row>
    <row r="961" spans="11:11" x14ac:dyDescent="0.45">
      <c r="K961">
        <v>18224.859220135524</v>
      </c>
    </row>
    <row r="962" spans="11:11" x14ac:dyDescent="0.45">
      <c r="K962">
        <v>15210.869053888699</v>
      </c>
    </row>
    <row r="963" spans="11:11" x14ac:dyDescent="0.45">
      <c r="K963">
        <v>6671.6114141326125</v>
      </c>
    </row>
    <row r="964" spans="11:11" x14ac:dyDescent="0.45">
      <c r="K964">
        <v>10941.799789491944</v>
      </c>
    </row>
    <row r="965" spans="11:11" x14ac:dyDescent="0.45">
      <c r="K965">
        <v>6818.1660502977475</v>
      </c>
    </row>
    <row r="966" spans="11:11" x14ac:dyDescent="0.45">
      <c r="K966">
        <v>8192.9780448383735</v>
      </c>
    </row>
    <row r="967" spans="11:11" x14ac:dyDescent="0.45">
      <c r="K967">
        <v>9756.8035725426889</v>
      </c>
    </row>
    <row r="968" spans="11:11" x14ac:dyDescent="0.45">
      <c r="K968">
        <v>12873.79557163521</v>
      </c>
    </row>
    <row r="969" spans="11:11" x14ac:dyDescent="0.45">
      <c r="K969">
        <v>22348.427691645702</v>
      </c>
    </row>
    <row r="970" spans="11:11" x14ac:dyDescent="0.45">
      <c r="K970">
        <v>15813.751373439814</v>
      </c>
    </row>
    <row r="971" spans="11:11" x14ac:dyDescent="0.45">
      <c r="K971">
        <v>8329.9232092621351</v>
      </c>
    </row>
    <row r="972" spans="11:11" x14ac:dyDescent="0.45">
      <c r="K972">
        <v>8176.1297075007124</v>
      </c>
    </row>
    <row r="973" spans="11:11" x14ac:dyDescent="0.45">
      <c r="K973">
        <v>20334.714137058858</v>
      </c>
    </row>
    <row r="974" spans="11:11" x14ac:dyDescent="0.45">
      <c r="K974">
        <v>17654.97141457197</v>
      </c>
    </row>
    <row r="975" spans="11:11" x14ac:dyDescent="0.45">
      <c r="K975">
        <v>6473.4091950872335</v>
      </c>
    </row>
    <row r="976" spans="11:11" x14ac:dyDescent="0.45">
      <c r="K976">
        <v>18416.480994383361</v>
      </c>
    </row>
    <row r="977" spans="11:11" x14ac:dyDescent="0.45">
      <c r="K977">
        <v>10326.827671574407</v>
      </c>
    </row>
    <row r="978" spans="11:11" x14ac:dyDescent="0.45">
      <c r="K978">
        <v>14240.849149890211</v>
      </c>
    </row>
    <row r="979" spans="11:11" x14ac:dyDescent="0.45">
      <c r="K979">
        <v>14129.637578420194</v>
      </c>
    </row>
    <row r="980" spans="11:11" x14ac:dyDescent="0.45">
      <c r="K980">
        <v>19469.494654456779</v>
      </c>
    </row>
    <row r="981" spans="11:11" x14ac:dyDescent="0.45">
      <c r="K981">
        <v>11659.66287129105</v>
      </c>
    </row>
    <row r="982" spans="11:11" x14ac:dyDescent="0.45">
      <c r="K982">
        <v>15990.546054100483</v>
      </c>
    </row>
    <row r="983" spans="11:11" x14ac:dyDescent="0.45">
      <c r="K983">
        <v>14459.979547539875</v>
      </c>
    </row>
    <row r="984" spans="11:11" x14ac:dyDescent="0.45">
      <c r="K984">
        <v>8382.106234298506</v>
      </c>
    </row>
    <row r="985" spans="11:11" x14ac:dyDescent="0.45">
      <c r="K985">
        <v>4179.8923420581577</v>
      </c>
    </row>
    <row r="986" spans="11:11" x14ac:dyDescent="0.45">
      <c r="K986">
        <v>14846.908954176024</v>
      </c>
    </row>
    <row r="987" spans="11:11" x14ac:dyDescent="0.45">
      <c r="K987">
        <v>8022.2520828448642</v>
      </c>
    </row>
    <row r="988" spans="11:11" x14ac:dyDescent="0.45">
      <c r="K988">
        <v>6322.5028470308798</v>
      </c>
    </row>
    <row r="989" spans="11:11" x14ac:dyDescent="0.45">
      <c r="K989">
        <v>15780.724663600329</v>
      </c>
    </row>
    <row r="990" spans="11:11" x14ac:dyDescent="0.45">
      <c r="K990">
        <v>13982.390544419493</v>
      </c>
    </row>
    <row r="991" spans="11:11" x14ac:dyDescent="0.45">
      <c r="K991">
        <v>22219.741593704217</v>
      </c>
    </row>
    <row r="992" spans="11:11" x14ac:dyDescent="0.45">
      <c r="K992">
        <v>0</v>
      </c>
    </row>
    <row r="993" spans="11:11" x14ac:dyDescent="0.45">
      <c r="K993">
        <v>11628.085968847303</v>
      </c>
    </row>
    <row r="994" spans="11:11" x14ac:dyDescent="0.45">
      <c r="K994">
        <v>16356.815430133609</v>
      </c>
    </row>
    <row r="995" spans="11:11" x14ac:dyDescent="0.45">
      <c r="K995">
        <v>10566.654171368793</v>
      </c>
    </row>
    <row r="996" spans="11:11" x14ac:dyDescent="0.45">
      <c r="K996">
        <v>12753.107927385243</v>
      </c>
    </row>
    <row r="997" spans="11:11" x14ac:dyDescent="0.45">
      <c r="K997">
        <v>7420.4181810292675</v>
      </c>
    </row>
    <row r="998" spans="11:11" x14ac:dyDescent="0.45">
      <c r="K998">
        <v>13971.801129481171</v>
      </c>
    </row>
    <row r="999" spans="11:11" x14ac:dyDescent="0.45">
      <c r="K999">
        <v>4980.6720482494911</v>
      </c>
    </row>
    <row r="1000" spans="11:11" x14ac:dyDescent="0.45">
      <c r="K1000">
        <v>14415.405415376952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3B9B3-C544-4AF8-9B0F-7408AE82785F}">
  <sheetPr codeName="Sheet10"/>
  <dimension ref="A1:Q1000"/>
  <sheetViews>
    <sheetView workbookViewId="0"/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1593.703936011887</v>
      </c>
      <c r="M1" s="1">
        <f>AVERAGE(K1:K10000)</f>
        <v>1458.8828677193169</v>
      </c>
    </row>
    <row r="2" spans="1:17" x14ac:dyDescent="0.45">
      <c r="C2" t="s">
        <v>0</v>
      </c>
      <c r="D2" t="s">
        <v>1</v>
      </c>
      <c r="K2">
        <v>913.44948433453965</v>
      </c>
      <c r="M2" s="1">
        <f>_xlfn.STDEV.S(K1:K10000)</f>
        <v>489.9654757035716</v>
      </c>
    </row>
    <row r="3" spans="1:17" x14ac:dyDescent="0.45">
      <c r="B3" t="s">
        <v>8</v>
      </c>
      <c r="C3" s="1">
        <f>1467</f>
        <v>1467</v>
      </c>
      <c r="D3" s="1">
        <v>497</v>
      </c>
      <c r="H3">
        <v>16366.539110781334</v>
      </c>
      <c r="K3">
        <v>1812.4418223558746</v>
      </c>
      <c r="O3" s="3"/>
      <c r="P3" s="4"/>
      <c r="Q3" s="5"/>
    </row>
    <row r="4" spans="1:17" x14ac:dyDescent="0.45">
      <c r="H4">
        <v>3721.7354821098083</v>
      </c>
      <c r="K4">
        <v>1150.1153320648555</v>
      </c>
      <c r="O4" s="6"/>
      <c r="P4" s="7"/>
      <c r="Q4" s="8"/>
    </row>
    <row r="5" spans="1:17" x14ac:dyDescent="0.45">
      <c r="B5" t="s">
        <v>2</v>
      </c>
      <c r="C5" s="1">
        <f ca="1">_xlfn.NORM.INV(RAND(),$C$3,$D$3)</f>
        <v>1327.8299488877872</v>
      </c>
      <c r="K5">
        <v>1533.2696412404382</v>
      </c>
      <c r="O5" s="6"/>
      <c r="P5" s="7"/>
      <c r="Q5" s="8"/>
    </row>
    <row r="6" spans="1:17" x14ac:dyDescent="0.45">
      <c r="K6">
        <v>1342.4295339621613</v>
      </c>
      <c r="O6" s="6"/>
      <c r="P6" s="7"/>
      <c r="Q6" s="8"/>
    </row>
    <row r="7" spans="1:17" x14ac:dyDescent="0.45">
      <c r="E7" s="1">
        <f ca="1">_xlfn.NORM.INV(RAND(),$C$3,$D$3)</f>
        <v>1119.0434035955327</v>
      </c>
      <c r="F7" s="1">
        <f t="shared" ref="F7:I7" ca="1" si="0">_xlfn.NORM.INV(RAND(),$C$3,$D$3)</f>
        <v>1994.4025199979258</v>
      </c>
      <c r="G7" s="1">
        <f t="shared" ca="1" si="0"/>
        <v>998.98528806270201</v>
      </c>
      <c r="H7" s="1">
        <f t="shared" ca="1" si="0"/>
        <v>1494.8536067975087</v>
      </c>
      <c r="I7" s="1">
        <f t="shared" ca="1" si="0"/>
        <v>2045.0775353967902</v>
      </c>
      <c r="K7">
        <v>1544.7693326086035</v>
      </c>
      <c r="O7" s="6"/>
      <c r="P7" s="7"/>
      <c r="Q7" s="8"/>
    </row>
    <row r="8" spans="1:17" x14ac:dyDescent="0.45">
      <c r="B8" t="s">
        <v>3</v>
      </c>
      <c r="C8">
        <v>1000</v>
      </c>
      <c r="K8">
        <v>1811.9772580809656</v>
      </c>
      <c r="O8" s="6"/>
      <c r="P8" s="7"/>
      <c r="Q8" s="8"/>
    </row>
    <row r="9" spans="1:17" x14ac:dyDescent="0.45">
      <c r="B9" t="s">
        <v>4</v>
      </c>
      <c r="C9">
        <v>1000</v>
      </c>
      <c r="K9">
        <v>1517.8831042329366</v>
      </c>
      <c r="O9" s="6"/>
      <c r="P9" s="7"/>
      <c r="Q9" s="8"/>
    </row>
    <row r="10" spans="1:17" x14ac:dyDescent="0.45">
      <c r="B10" t="s">
        <v>6</v>
      </c>
      <c r="C10" s="1">
        <f>MAX(K:K)</f>
        <v>3102.3124559715734</v>
      </c>
      <c r="K10">
        <v>2121.9128500796191</v>
      </c>
      <c r="O10" s="6"/>
      <c r="P10" s="7"/>
      <c r="Q10" s="8"/>
    </row>
    <row r="11" spans="1:17" x14ac:dyDescent="0.45">
      <c r="B11" t="s">
        <v>5</v>
      </c>
      <c r="C11" s="1">
        <f>MIN(K:K)</f>
        <v>0</v>
      </c>
      <c r="E11" s="1">
        <f>ROUNDDOWN((C10-C11)/100,0)</f>
        <v>31</v>
      </c>
      <c r="K11">
        <v>1566.0158669420043</v>
      </c>
      <c r="O11" s="6"/>
      <c r="P11" s="7"/>
      <c r="Q11" s="8"/>
    </row>
    <row r="12" spans="1:17" x14ac:dyDescent="0.45">
      <c r="K12">
        <v>637.26217285250232</v>
      </c>
      <c r="O12" s="6"/>
      <c r="P12" s="7"/>
      <c r="Q12" s="8"/>
    </row>
    <row r="13" spans="1:17" x14ac:dyDescent="0.45">
      <c r="A13" s="1">
        <f>ROUNDDOWN(C11,0)</f>
        <v>0</v>
      </c>
      <c r="B13">
        <f>COUNTIFS($K$1:$K$1000,"&gt;="&amp; A13,$K$1:$K$1000,"&lt;"&amp; A14)</f>
        <v>1</v>
      </c>
      <c r="C13" s="2"/>
      <c r="K13">
        <v>1088.3781012320594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62.046249119431465</v>
      </c>
      <c r="B14">
        <f t="shared" ref="B14:B63" si="1">COUNTIFS($K$1:$K$1000,"&gt;="&amp; A14,$K$1:$K$1000,"&lt;"&amp; A15)</f>
        <v>2</v>
      </c>
      <c r="C14" s="2"/>
      <c r="K14">
        <v>1306.4154485339204</v>
      </c>
      <c r="O14" s="6"/>
      <c r="P14" s="7"/>
      <c r="Q14" s="8"/>
    </row>
    <row r="15" spans="1:17" x14ac:dyDescent="0.45">
      <c r="A15" s="1">
        <f t="shared" ref="A15:A63" si="2">IF(A14+($C$10-$C$11)/50&lt;=$C$10,A14+($C$10-$C$11)/50,MAX(A14+($C$10-$C$11)/50,$C$10))</f>
        <v>124.09249823886293</v>
      </c>
      <c r="B15">
        <f t="shared" si="1"/>
        <v>0</v>
      </c>
      <c r="C15" s="2"/>
      <c r="K15">
        <v>1741.32757842622</v>
      </c>
      <c r="O15" s="6"/>
      <c r="P15" s="7"/>
      <c r="Q15" s="8"/>
    </row>
    <row r="16" spans="1:17" x14ac:dyDescent="0.45">
      <c r="A16" s="1">
        <f t="shared" si="2"/>
        <v>186.13874735829438</v>
      </c>
      <c r="B16">
        <f t="shared" si="1"/>
        <v>3</v>
      </c>
      <c r="C16" s="2"/>
      <c r="K16">
        <v>1700.7269653548319</v>
      </c>
      <c r="O16" s="6"/>
      <c r="P16" s="7"/>
      <c r="Q16" s="8"/>
    </row>
    <row r="17" spans="1:17" x14ac:dyDescent="0.45">
      <c r="A17" s="1">
        <f t="shared" si="2"/>
        <v>248.18499647772586</v>
      </c>
      <c r="B17">
        <f t="shared" si="1"/>
        <v>0</v>
      </c>
      <c r="C17" s="2"/>
      <c r="K17">
        <v>1394.7857716077858</v>
      </c>
      <c r="O17" s="6"/>
      <c r="P17" s="7"/>
      <c r="Q17" s="8"/>
    </row>
    <row r="18" spans="1:17" x14ac:dyDescent="0.45">
      <c r="A18" s="1">
        <f t="shared" si="2"/>
        <v>310.23124559715734</v>
      </c>
      <c r="B18">
        <f t="shared" si="1"/>
        <v>2</v>
      </c>
      <c r="C18" s="2"/>
      <c r="K18">
        <v>616.45001037970849</v>
      </c>
      <c r="O18" s="6"/>
      <c r="P18" s="7"/>
      <c r="Q18" s="8"/>
    </row>
    <row r="19" spans="1:17" x14ac:dyDescent="0.45">
      <c r="A19" s="1">
        <f t="shared" si="2"/>
        <v>372.27749471658882</v>
      </c>
      <c r="B19">
        <f t="shared" si="1"/>
        <v>5</v>
      </c>
      <c r="C19" s="2"/>
      <c r="K19">
        <v>1858.2907930418519</v>
      </c>
      <c r="O19" s="6"/>
      <c r="P19" s="7"/>
      <c r="Q19" s="8"/>
    </row>
    <row r="20" spans="1:17" x14ac:dyDescent="0.45">
      <c r="A20" s="1">
        <f t="shared" si="2"/>
        <v>434.3237438360203</v>
      </c>
      <c r="B20">
        <f t="shared" si="1"/>
        <v>8</v>
      </c>
      <c r="C20" s="2"/>
      <c r="K20">
        <v>2044.7184273372839</v>
      </c>
      <c r="O20" s="9"/>
      <c r="P20" s="10"/>
      <c r="Q20" s="11"/>
    </row>
    <row r="21" spans="1:17" x14ac:dyDescent="0.45">
      <c r="A21" s="1">
        <f t="shared" si="2"/>
        <v>496.36999295545178</v>
      </c>
      <c r="B21">
        <f t="shared" si="1"/>
        <v>12</v>
      </c>
      <c r="C21" s="2"/>
      <c r="K21">
        <v>1138.3819718493251</v>
      </c>
    </row>
    <row r="22" spans="1:17" x14ac:dyDescent="0.45">
      <c r="A22" s="1">
        <f t="shared" si="2"/>
        <v>558.41624207488326</v>
      </c>
      <c r="B22">
        <f t="shared" si="1"/>
        <v>16</v>
      </c>
      <c r="C22" s="2"/>
      <c r="K22">
        <v>2218.0477137234411</v>
      </c>
    </row>
    <row r="23" spans="1:17" x14ac:dyDescent="0.45">
      <c r="A23" s="1">
        <f t="shared" si="2"/>
        <v>620.46249119431468</v>
      </c>
      <c r="B23">
        <f t="shared" si="1"/>
        <v>12</v>
      </c>
      <c r="C23" s="2"/>
      <c r="K23">
        <v>668.37923997306177</v>
      </c>
    </row>
    <row r="24" spans="1:17" x14ac:dyDescent="0.45">
      <c r="A24" s="1">
        <f t="shared" si="2"/>
        <v>682.5087403137461</v>
      </c>
      <c r="B24">
        <f t="shared" si="1"/>
        <v>17</v>
      </c>
      <c r="C24" s="2"/>
      <c r="K24">
        <v>1238.0485672888874</v>
      </c>
    </row>
    <row r="25" spans="1:17" x14ac:dyDescent="0.45">
      <c r="A25" s="1">
        <f t="shared" si="2"/>
        <v>744.55498943317752</v>
      </c>
      <c r="B25">
        <f t="shared" si="1"/>
        <v>19</v>
      </c>
      <c r="C25" s="2"/>
      <c r="K25">
        <v>1728.5080160255268</v>
      </c>
    </row>
    <row r="26" spans="1:17" x14ac:dyDescent="0.45">
      <c r="A26" s="1">
        <f t="shared" si="2"/>
        <v>806.60123855260895</v>
      </c>
      <c r="B26">
        <f t="shared" si="1"/>
        <v>19</v>
      </c>
      <c r="C26" s="2"/>
      <c r="K26">
        <v>2135.3062441340462</v>
      </c>
    </row>
    <row r="27" spans="1:17" x14ac:dyDescent="0.45">
      <c r="A27" s="1">
        <f t="shared" si="2"/>
        <v>868.64748767204037</v>
      </c>
      <c r="B27">
        <f t="shared" si="1"/>
        <v>26</v>
      </c>
      <c r="C27" s="2"/>
      <c r="K27">
        <v>1200.4203241503092</v>
      </c>
    </row>
    <row r="28" spans="1:17" x14ac:dyDescent="0.45">
      <c r="A28" s="1">
        <f t="shared" si="2"/>
        <v>930.69373679147179</v>
      </c>
      <c r="B28">
        <f t="shared" si="1"/>
        <v>24</v>
      </c>
      <c r="C28" s="2"/>
      <c r="K28">
        <v>1823.1864888207458</v>
      </c>
    </row>
    <row r="29" spans="1:17" x14ac:dyDescent="0.45">
      <c r="A29" s="1">
        <f t="shared" si="2"/>
        <v>992.73998591090321</v>
      </c>
      <c r="B29">
        <f t="shared" si="1"/>
        <v>33</v>
      </c>
      <c r="C29" s="2"/>
      <c r="K29">
        <v>1403.7437286798893</v>
      </c>
    </row>
    <row r="30" spans="1:17" x14ac:dyDescent="0.45">
      <c r="A30" s="1">
        <f t="shared" si="2"/>
        <v>1054.7862350303346</v>
      </c>
      <c r="B30">
        <f t="shared" si="1"/>
        <v>38</v>
      </c>
      <c r="C30" s="2"/>
      <c r="K30">
        <v>2188.7463244616165</v>
      </c>
    </row>
    <row r="31" spans="1:17" x14ac:dyDescent="0.45">
      <c r="A31" s="1">
        <f t="shared" si="2"/>
        <v>1116.8324841497661</v>
      </c>
      <c r="B31">
        <f t="shared" si="1"/>
        <v>52</v>
      </c>
      <c r="C31" s="2"/>
      <c r="K31">
        <v>891.76752669959183</v>
      </c>
    </row>
    <row r="32" spans="1:17" x14ac:dyDescent="0.45">
      <c r="A32" s="1">
        <f t="shared" si="2"/>
        <v>1178.8787332691975</v>
      </c>
      <c r="B32">
        <f t="shared" si="1"/>
        <v>43</v>
      </c>
      <c r="C32" s="2"/>
      <c r="K32">
        <v>1308.3589684085655</v>
      </c>
    </row>
    <row r="33" spans="1:11" x14ac:dyDescent="0.45">
      <c r="A33" s="1">
        <f t="shared" si="2"/>
        <v>1240.9249823886289</v>
      </c>
      <c r="B33">
        <f t="shared" si="1"/>
        <v>39</v>
      </c>
      <c r="C33" s="2"/>
      <c r="K33">
        <v>1436.1599084459438</v>
      </c>
    </row>
    <row r="34" spans="1:11" x14ac:dyDescent="0.45">
      <c r="A34" s="1">
        <f t="shared" si="2"/>
        <v>1302.9712315080603</v>
      </c>
      <c r="B34">
        <f t="shared" si="1"/>
        <v>54</v>
      </c>
      <c r="C34" s="2"/>
      <c r="K34">
        <v>1120.8750955949945</v>
      </c>
    </row>
    <row r="35" spans="1:11" x14ac:dyDescent="0.45">
      <c r="A35" s="1">
        <f t="shared" si="2"/>
        <v>1365.0174806274918</v>
      </c>
      <c r="B35">
        <f t="shared" si="1"/>
        <v>53</v>
      </c>
      <c r="C35" s="2"/>
      <c r="K35">
        <v>939.64128820597114</v>
      </c>
    </row>
    <row r="36" spans="1:11" x14ac:dyDescent="0.45">
      <c r="A36" s="1">
        <f t="shared" si="2"/>
        <v>1427.0637297469232</v>
      </c>
      <c r="B36">
        <f t="shared" si="1"/>
        <v>61</v>
      </c>
      <c r="C36" s="2"/>
      <c r="K36">
        <v>1789.5769663365668</v>
      </c>
    </row>
    <row r="37" spans="1:11" x14ac:dyDescent="0.45">
      <c r="A37" s="1">
        <f t="shared" si="2"/>
        <v>1489.1099788663546</v>
      </c>
      <c r="B37">
        <f t="shared" si="1"/>
        <v>37</v>
      </c>
      <c r="C37" s="2"/>
      <c r="K37">
        <v>1446.6937423388501</v>
      </c>
    </row>
    <row r="38" spans="1:11" x14ac:dyDescent="0.45">
      <c r="A38" s="1">
        <f t="shared" si="2"/>
        <v>1551.156227985786</v>
      </c>
      <c r="B38">
        <f t="shared" si="1"/>
        <v>51</v>
      </c>
      <c r="C38" s="2"/>
      <c r="K38">
        <v>1874.5646305328655</v>
      </c>
    </row>
    <row r="39" spans="1:11" x14ac:dyDescent="0.45">
      <c r="A39" s="1">
        <f t="shared" si="2"/>
        <v>1613.2024771052174</v>
      </c>
      <c r="B39">
        <f t="shared" si="1"/>
        <v>51</v>
      </c>
      <c r="C39" s="2"/>
      <c r="K39">
        <v>1457.9097173152732</v>
      </c>
    </row>
    <row r="40" spans="1:11" x14ac:dyDescent="0.45">
      <c r="A40" s="1">
        <f t="shared" si="2"/>
        <v>1675.2487262246489</v>
      </c>
      <c r="B40">
        <f t="shared" si="1"/>
        <v>35</v>
      </c>
      <c r="C40" s="2"/>
      <c r="K40">
        <v>1607.1596423621704</v>
      </c>
    </row>
    <row r="41" spans="1:11" x14ac:dyDescent="0.45">
      <c r="A41" s="1">
        <f t="shared" si="2"/>
        <v>1737.2949753440803</v>
      </c>
      <c r="B41">
        <f t="shared" si="1"/>
        <v>45</v>
      </c>
      <c r="C41" s="2"/>
      <c r="K41">
        <v>1672.1230841664265</v>
      </c>
    </row>
    <row r="42" spans="1:11" x14ac:dyDescent="0.45">
      <c r="A42" s="1">
        <f t="shared" si="2"/>
        <v>1799.3412244635117</v>
      </c>
      <c r="B42">
        <f t="shared" si="1"/>
        <v>41</v>
      </c>
      <c r="C42" s="2"/>
      <c r="K42">
        <v>1382.5182609248304</v>
      </c>
    </row>
    <row r="43" spans="1:11" x14ac:dyDescent="0.45">
      <c r="A43" s="1">
        <f t="shared" si="2"/>
        <v>1861.3874735829431</v>
      </c>
      <c r="B43">
        <f t="shared" si="1"/>
        <v>29</v>
      </c>
      <c r="C43" s="2"/>
      <c r="K43">
        <v>1836.2175635305805</v>
      </c>
    </row>
    <row r="44" spans="1:11" x14ac:dyDescent="0.45">
      <c r="A44" s="1">
        <f t="shared" si="2"/>
        <v>1923.4337227023746</v>
      </c>
      <c r="B44">
        <f t="shared" si="1"/>
        <v>31</v>
      </c>
      <c r="C44" s="2"/>
      <c r="K44">
        <v>1397.0412574752434</v>
      </c>
    </row>
    <row r="45" spans="1:11" x14ac:dyDescent="0.45">
      <c r="A45" s="1">
        <f t="shared" si="2"/>
        <v>1985.479971821806</v>
      </c>
      <c r="B45">
        <f t="shared" si="1"/>
        <v>27</v>
      </c>
      <c r="C45" s="2"/>
      <c r="K45">
        <v>1596.3060022963546</v>
      </c>
    </row>
    <row r="46" spans="1:11" x14ac:dyDescent="0.45">
      <c r="A46" s="1">
        <f t="shared" si="2"/>
        <v>2047.5262209412374</v>
      </c>
      <c r="B46">
        <f t="shared" si="1"/>
        <v>18</v>
      </c>
      <c r="C46" s="2"/>
      <c r="K46">
        <v>890.35169833316661</v>
      </c>
    </row>
    <row r="47" spans="1:11" x14ac:dyDescent="0.45">
      <c r="A47" s="1">
        <f t="shared" si="2"/>
        <v>2109.5724700606688</v>
      </c>
      <c r="B47">
        <f t="shared" si="1"/>
        <v>22</v>
      </c>
      <c r="C47" s="2"/>
      <c r="K47">
        <v>1388.4654635537545</v>
      </c>
    </row>
    <row r="48" spans="1:11" x14ac:dyDescent="0.45">
      <c r="A48" s="1">
        <f t="shared" si="2"/>
        <v>2171.6187191801005</v>
      </c>
      <c r="B48">
        <f t="shared" si="1"/>
        <v>14</v>
      </c>
      <c r="C48" s="2"/>
      <c r="K48">
        <v>1221.933394225199</v>
      </c>
    </row>
    <row r="49" spans="1:11" x14ac:dyDescent="0.45">
      <c r="A49" s="1">
        <f t="shared" si="2"/>
        <v>2233.6649682995321</v>
      </c>
      <c r="B49">
        <f t="shared" si="1"/>
        <v>13</v>
      </c>
      <c r="C49" s="2"/>
      <c r="K49">
        <v>2171.0007652859667</v>
      </c>
    </row>
    <row r="50" spans="1:11" x14ac:dyDescent="0.45">
      <c r="A50" s="1">
        <f t="shared" si="2"/>
        <v>2295.7112174189638</v>
      </c>
      <c r="B50">
        <f t="shared" si="1"/>
        <v>10</v>
      </c>
      <c r="C50" s="2"/>
      <c r="K50">
        <v>426.94639313776634</v>
      </c>
    </row>
    <row r="51" spans="1:11" x14ac:dyDescent="0.45">
      <c r="A51" s="1">
        <f t="shared" si="2"/>
        <v>2357.7574665383954</v>
      </c>
      <c r="B51">
        <f t="shared" si="1"/>
        <v>9</v>
      </c>
      <c r="C51" s="2"/>
      <c r="K51">
        <v>1912.8797143303391</v>
      </c>
    </row>
    <row r="52" spans="1:11" x14ac:dyDescent="0.45">
      <c r="A52" s="1">
        <f t="shared" si="2"/>
        <v>2419.8037156578271</v>
      </c>
      <c r="B52">
        <f t="shared" si="1"/>
        <v>8</v>
      </c>
      <c r="C52" s="2"/>
      <c r="K52">
        <v>1138.5582289338372</v>
      </c>
    </row>
    <row r="53" spans="1:11" x14ac:dyDescent="0.45">
      <c r="A53" s="1">
        <f t="shared" si="2"/>
        <v>2481.8499647772587</v>
      </c>
      <c r="B53">
        <f t="shared" si="1"/>
        <v>8</v>
      </c>
      <c r="C53" s="2"/>
      <c r="K53">
        <v>1852.0514795394549</v>
      </c>
    </row>
    <row r="54" spans="1:11" x14ac:dyDescent="0.45">
      <c r="A54" s="1">
        <f t="shared" si="2"/>
        <v>2543.8962138966904</v>
      </c>
      <c r="B54">
        <f t="shared" si="1"/>
        <v>3</v>
      </c>
      <c r="C54" s="2"/>
      <c r="K54">
        <v>696.54149011592779</v>
      </c>
    </row>
    <row r="55" spans="1:11" x14ac:dyDescent="0.45">
      <c r="A55" s="1">
        <f t="shared" si="2"/>
        <v>2605.942463016122</v>
      </c>
      <c r="B55">
        <f t="shared" si="1"/>
        <v>1</v>
      </c>
      <c r="C55" s="2"/>
      <c r="K55">
        <v>962.41503407783466</v>
      </c>
    </row>
    <row r="56" spans="1:11" x14ac:dyDescent="0.45">
      <c r="A56" s="1">
        <f t="shared" si="2"/>
        <v>2667.9887121355537</v>
      </c>
      <c r="B56">
        <f t="shared" si="1"/>
        <v>2</v>
      </c>
      <c r="C56" s="2"/>
      <c r="K56">
        <v>521.21094854894829</v>
      </c>
    </row>
    <row r="57" spans="1:11" x14ac:dyDescent="0.45">
      <c r="A57" s="1">
        <f t="shared" si="2"/>
        <v>2730.0349612549853</v>
      </c>
      <c r="B57">
        <f t="shared" si="1"/>
        <v>3</v>
      </c>
      <c r="C57" s="2"/>
      <c r="K57">
        <v>1178.7719543340081</v>
      </c>
    </row>
    <row r="58" spans="1:11" x14ac:dyDescent="0.45">
      <c r="A58" s="1">
        <f t="shared" si="2"/>
        <v>2792.081210374417</v>
      </c>
      <c r="B58">
        <f t="shared" si="1"/>
        <v>1</v>
      </c>
      <c r="C58" s="2"/>
      <c r="K58">
        <v>1968.6156472782739</v>
      </c>
    </row>
    <row r="59" spans="1:11" x14ac:dyDescent="0.45">
      <c r="A59" s="1">
        <f t="shared" si="2"/>
        <v>2854.1274594938486</v>
      </c>
      <c r="B59">
        <f t="shared" si="1"/>
        <v>1</v>
      </c>
      <c r="C59" s="2"/>
      <c r="K59">
        <v>1462.0680515832873</v>
      </c>
    </row>
    <row r="60" spans="1:11" x14ac:dyDescent="0.45">
      <c r="A60" s="1">
        <f t="shared" si="2"/>
        <v>2916.1737086132803</v>
      </c>
      <c r="B60">
        <f t="shared" si="1"/>
        <v>0</v>
      </c>
      <c r="C60" s="2"/>
      <c r="K60">
        <v>582.28484407128076</v>
      </c>
    </row>
    <row r="61" spans="1:11" x14ac:dyDescent="0.45">
      <c r="A61" s="1">
        <f t="shared" si="2"/>
        <v>2978.2199577327119</v>
      </c>
      <c r="B61">
        <f t="shared" si="1"/>
        <v>0</v>
      </c>
      <c r="C61" s="2"/>
      <c r="K61">
        <v>1828.4485008938452</v>
      </c>
    </row>
    <row r="62" spans="1:11" x14ac:dyDescent="0.45">
      <c r="A62" s="1">
        <f t="shared" si="2"/>
        <v>3040.2662068521436</v>
      </c>
      <c r="B62">
        <f t="shared" si="1"/>
        <v>1</v>
      </c>
      <c r="C62" s="2"/>
      <c r="K62">
        <v>2247.7197405021566</v>
      </c>
    </row>
    <row r="63" spans="1:11" x14ac:dyDescent="0.45">
      <c r="A63" s="1">
        <f t="shared" si="2"/>
        <v>3102.3124559715752</v>
      </c>
      <c r="B63">
        <f t="shared" si="1"/>
        <v>0</v>
      </c>
      <c r="C63" s="2"/>
      <c r="K63">
        <v>1259.6580051995049</v>
      </c>
    </row>
    <row r="64" spans="1:11" x14ac:dyDescent="0.45">
      <c r="B64">
        <f>SUM(B13:B63)</f>
        <v>1000</v>
      </c>
      <c r="C64" s="2"/>
      <c r="K64">
        <v>1358.1032860439077</v>
      </c>
    </row>
    <row r="65" spans="3:11" x14ac:dyDescent="0.45">
      <c r="C65" s="2"/>
      <c r="K65">
        <v>1779.0325708611113</v>
      </c>
    </row>
    <row r="66" spans="3:11" x14ac:dyDescent="0.45">
      <c r="C66" s="2"/>
      <c r="K66">
        <v>1562.0336039778838</v>
      </c>
    </row>
    <row r="67" spans="3:11" x14ac:dyDescent="0.45">
      <c r="C67" s="2"/>
      <c r="K67">
        <v>1763.7362110367028</v>
      </c>
    </row>
    <row r="68" spans="3:11" x14ac:dyDescent="0.45">
      <c r="C68" s="2"/>
      <c r="K68">
        <v>1271.5526872641099</v>
      </c>
    </row>
    <row r="69" spans="3:11" x14ac:dyDescent="0.45">
      <c r="C69" s="2"/>
      <c r="K69">
        <v>1034.3013395381756</v>
      </c>
    </row>
    <row r="70" spans="3:11" x14ac:dyDescent="0.45">
      <c r="C70" s="2"/>
      <c r="K70">
        <v>2513.6319584658163</v>
      </c>
    </row>
    <row r="71" spans="3:11" x14ac:dyDescent="0.45">
      <c r="C71" s="2"/>
      <c r="K71">
        <v>1264.1812627405091</v>
      </c>
    </row>
    <row r="72" spans="3:11" x14ac:dyDescent="0.45">
      <c r="C72" s="2"/>
      <c r="K72">
        <v>2008.5333611572564</v>
      </c>
    </row>
    <row r="73" spans="3:11" x14ac:dyDescent="0.45">
      <c r="C73" s="2"/>
      <c r="K73">
        <v>1175.1570157227447</v>
      </c>
    </row>
    <row r="74" spans="3:11" x14ac:dyDescent="0.45">
      <c r="C74" s="2"/>
      <c r="K74">
        <v>2200.5079457724737</v>
      </c>
    </row>
    <row r="75" spans="3:11" x14ac:dyDescent="0.45">
      <c r="C75" s="2"/>
      <c r="K75">
        <v>510.68902417486947</v>
      </c>
    </row>
    <row r="76" spans="3:11" x14ac:dyDescent="0.45">
      <c r="C76" s="2"/>
      <c r="K76">
        <v>2011.3011561726694</v>
      </c>
    </row>
    <row r="77" spans="3:11" x14ac:dyDescent="0.45">
      <c r="C77" s="2"/>
      <c r="K77">
        <v>2012.6157941062361</v>
      </c>
    </row>
    <row r="78" spans="3:11" x14ac:dyDescent="0.45">
      <c r="C78" s="2"/>
      <c r="K78">
        <v>1190.9491707371155</v>
      </c>
    </row>
    <row r="79" spans="3:11" x14ac:dyDescent="0.45">
      <c r="C79" s="2"/>
      <c r="K79">
        <v>1098.1674268720269</v>
      </c>
    </row>
    <row r="80" spans="3:11" x14ac:dyDescent="0.45">
      <c r="C80" s="2"/>
      <c r="K80">
        <v>1822.6179393707509</v>
      </c>
    </row>
    <row r="81" spans="3:11" x14ac:dyDescent="0.45">
      <c r="C81" s="2"/>
      <c r="K81">
        <v>1270.3521988578411</v>
      </c>
    </row>
    <row r="82" spans="3:11" x14ac:dyDescent="0.45">
      <c r="C82" s="2"/>
      <c r="K82">
        <v>1834.7697923921685</v>
      </c>
    </row>
    <row r="83" spans="3:11" x14ac:dyDescent="0.45">
      <c r="C83" s="2"/>
      <c r="K83">
        <v>1417.7742177061605</v>
      </c>
    </row>
    <row r="84" spans="3:11" x14ac:dyDescent="0.45">
      <c r="K84">
        <v>1372.9764852813569</v>
      </c>
    </row>
    <row r="85" spans="3:11" x14ac:dyDescent="0.45">
      <c r="K85">
        <v>729.22220760939274</v>
      </c>
    </row>
    <row r="86" spans="3:11" x14ac:dyDescent="0.45">
      <c r="K86">
        <v>2526.7323056371824</v>
      </c>
    </row>
    <row r="87" spans="3:11" x14ac:dyDescent="0.45">
      <c r="K87">
        <v>1208.6264205406408</v>
      </c>
    </row>
    <row r="88" spans="3:11" x14ac:dyDescent="0.45">
      <c r="K88">
        <v>1332.2804975518025</v>
      </c>
    </row>
    <row r="89" spans="3:11" x14ac:dyDescent="0.45">
      <c r="K89">
        <v>1064.4903351355676</v>
      </c>
    </row>
    <row r="90" spans="3:11" x14ac:dyDescent="0.45">
      <c r="K90">
        <v>1444.0883107500188</v>
      </c>
    </row>
    <row r="91" spans="3:11" x14ac:dyDescent="0.45">
      <c r="K91">
        <v>1279.2776999098307</v>
      </c>
    </row>
    <row r="92" spans="3:11" x14ac:dyDescent="0.45">
      <c r="K92">
        <v>1828.4872289100033</v>
      </c>
    </row>
    <row r="93" spans="3:11" x14ac:dyDescent="0.45">
      <c r="K93">
        <v>1306.2211098545263</v>
      </c>
    </row>
    <row r="94" spans="3:11" x14ac:dyDescent="0.45">
      <c r="K94">
        <v>1274.2042649727039</v>
      </c>
    </row>
    <row r="95" spans="3:11" x14ac:dyDescent="0.45">
      <c r="K95">
        <v>1841.7098991875455</v>
      </c>
    </row>
    <row r="96" spans="3:11" x14ac:dyDescent="0.45">
      <c r="K96">
        <v>122.90675201765771</v>
      </c>
    </row>
    <row r="97" spans="11:11" x14ac:dyDescent="0.45">
      <c r="K97">
        <v>974.45999888717415</v>
      </c>
    </row>
    <row r="98" spans="11:11" x14ac:dyDescent="0.45">
      <c r="K98">
        <v>834.93453904674618</v>
      </c>
    </row>
    <row r="99" spans="11:11" x14ac:dyDescent="0.45">
      <c r="K99">
        <v>1246.1998166370436</v>
      </c>
    </row>
    <row r="100" spans="11:11" x14ac:dyDescent="0.45">
      <c r="K100">
        <v>1283.6631159965705</v>
      </c>
    </row>
    <row r="101" spans="11:11" x14ac:dyDescent="0.45">
      <c r="K101">
        <v>1545.0611825598912</v>
      </c>
    </row>
    <row r="102" spans="11:11" x14ac:dyDescent="0.45">
      <c r="K102">
        <v>1368.8985096876215</v>
      </c>
    </row>
    <row r="103" spans="11:11" x14ac:dyDescent="0.45">
      <c r="K103">
        <v>598.3168423015785</v>
      </c>
    </row>
    <row r="104" spans="11:11" x14ac:dyDescent="0.45">
      <c r="K104">
        <v>819.47455629395563</v>
      </c>
    </row>
    <row r="105" spans="11:11" x14ac:dyDescent="0.45">
      <c r="K105">
        <v>1421.4664013342492</v>
      </c>
    </row>
    <row r="106" spans="11:11" x14ac:dyDescent="0.45">
      <c r="K106">
        <v>787.3393100960202</v>
      </c>
    </row>
    <row r="107" spans="11:11" x14ac:dyDescent="0.45">
      <c r="K107">
        <v>1257.8355798434864</v>
      </c>
    </row>
    <row r="108" spans="11:11" x14ac:dyDescent="0.45">
      <c r="K108">
        <v>1400.1838233756205</v>
      </c>
    </row>
    <row r="109" spans="11:11" x14ac:dyDescent="0.45">
      <c r="K109">
        <v>821.2598829849436</v>
      </c>
    </row>
    <row r="110" spans="11:11" x14ac:dyDescent="0.45">
      <c r="K110">
        <v>1963.53761722936</v>
      </c>
    </row>
    <row r="111" spans="11:11" x14ac:dyDescent="0.45">
      <c r="K111">
        <v>950.10839711249832</v>
      </c>
    </row>
    <row r="112" spans="11:11" x14ac:dyDescent="0.45">
      <c r="K112">
        <v>2205.3036155837622</v>
      </c>
    </row>
    <row r="113" spans="2:11" x14ac:dyDescent="0.45">
      <c r="K113">
        <v>2313.0735494146497</v>
      </c>
    </row>
    <row r="114" spans="2:11" x14ac:dyDescent="0.45">
      <c r="K114">
        <v>2260.4095467453503</v>
      </c>
    </row>
    <row r="115" spans="2:11" x14ac:dyDescent="0.45">
      <c r="B115">
        <f>SUM(B13:B114)</f>
        <v>2000</v>
      </c>
      <c r="K115">
        <v>1015.9704881604948</v>
      </c>
    </row>
    <row r="116" spans="2:11" x14ac:dyDescent="0.45">
      <c r="K116">
        <v>1464.6519904923036</v>
      </c>
    </row>
    <row r="117" spans="2:11" x14ac:dyDescent="0.45">
      <c r="K117">
        <v>1082.3427622461224</v>
      </c>
    </row>
    <row r="118" spans="2:11" x14ac:dyDescent="0.45">
      <c r="K118">
        <v>1528.5753773061776</v>
      </c>
    </row>
    <row r="119" spans="2:11" x14ac:dyDescent="0.45">
      <c r="K119">
        <v>1189.5208146708596</v>
      </c>
    </row>
    <row r="120" spans="2:11" x14ac:dyDescent="0.45">
      <c r="K120">
        <v>364.31019167481531</v>
      </c>
    </row>
    <row r="121" spans="2:11" x14ac:dyDescent="0.45">
      <c r="K121">
        <v>1283.2625645307239</v>
      </c>
    </row>
    <row r="122" spans="2:11" x14ac:dyDescent="0.45">
      <c r="K122">
        <v>2527.8194206031112</v>
      </c>
    </row>
    <row r="123" spans="2:11" x14ac:dyDescent="0.45">
      <c r="K123">
        <v>1480.8936293390643</v>
      </c>
    </row>
    <row r="124" spans="2:11" x14ac:dyDescent="0.45">
      <c r="K124">
        <v>2590.7092535611609</v>
      </c>
    </row>
    <row r="125" spans="2:11" x14ac:dyDescent="0.45">
      <c r="K125">
        <v>1032.1296240375627</v>
      </c>
    </row>
    <row r="126" spans="2:11" x14ac:dyDescent="0.45">
      <c r="K126">
        <v>2521.9386888440022</v>
      </c>
    </row>
    <row r="127" spans="2:11" x14ac:dyDescent="0.45">
      <c r="K127">
        <v>2600.8095669336899</v>
      </c>
    </row>
    <row r="128" spans="2:11" x14ac:dyDescent="0.45">
      <c r="K128">
        <v>1752.5843402767382</v>
      </c>
    </row>
    <row r="129" spans="11:11" x14ac:dyDescent="0.45">
      <c r="K129">
        <v>2203.5984532827606</v>
      </c>
    </row>
    <row r="130" spans="11:11" x14ac:dyDescent="0.45">
      <c r="K130">
        <v>2411.5071605264493</v>
      </c>
    </row>
    <row r="131" spans="11:11" x14ac:dyDescent="0.45">
      <c r="K131">
        <v>1474.0708381125469</v>
      </c>
    </row>
    <row r="132" spans="11:11" x14ac:dyDescent="0.45">
      <c r="K132">
        <v>1800.1461491187047</v>
      </c>
    </row>
    <row r="133" spans="11:11" x14ac:dyDescent="0.45">
      <c r="K133">
        <v>1382.8389340874546</v>
      </c>
    </row>
    <row r="134" spans="11:11" x14ac:dyDescent="0.45">
      <c r="K134">
        <v>1263.5979286460042</v>
      </c>
    </row>
    <row r="135" spans="11:11" x14ac:dyDescent="0.45">
      <c r="K135">
        <v>1134.3342809164251</v>
      </c>
    </row>
    <row r="136" spans="11:11" x14ac:dyDescent="0.45">
      <c r="K136">
        <v>1642.0964350988443</v>
      </c>
    </row>
    <row r="137" spans="11:11" x14ac:dyDescent="0.45">
      <c r="K137">
        <v>1461.9638735701383</v>
      </c>
    </row>
    <row r="138" spans="11:11" x14ac:dyDescent="0.45">
      <c r="K138">
        <v>989.31929173319986</v>
      </c>
    </row>
    <row r="139" spans="11:11" x14ac:dyDescent="0.45">
      <c r="K139">
        <v>557.75122838607717</v>
      </c>
    </row>
    <row r="140" spans="11:11" x14ac:dyDescent="0.45">
      <c r="K140">
        <v>1208.4079705668314</v>
      </c>
    </row>
    <row r="141" spans="11:11" x14ac:dyDescent="0.45">
      <c r="K141">
        <v>950.15023337563809</v>
      </c>
    </row>
    <row r="142" spans="11:11" x14ac:dyDescent="0.45">
      <c r="K142">
        <v>887.9461763355124</v>
      </c>
    </row>
    <row r="143" spans="11:11" x14ac:dyDescent="0.45">
      <c r="K143">
        <v>1481.2451556694641</v>
      </c>
    </row>
    <row r="144" spans="11:11" x14ac:dyDescent="0.45">
      <c r="K144">
        <v>1694.6633856761587</v>
      </c>
    </row>
    <row r="145" spans="11:11" x14ac:dyDescent="0.45">
      <c r="K145">
        <v>1594.1066995639176</v>
      </c>
    </row>
    <row r="146" spans="11:11" x14ac:dyDescent="0.45">
      <c r="K146">
        <v>2113.5263750040276</v>
      </c>
    </row>
    <row r="147" spans="11:11" x14ac:dyDescent="0.45">
      <c r="K147">
        <v>1918.7592364580551</v>
      </c>
    </row>
    <row r="148" spans="11:11" x14ac:dyDescent="0.45">
      <c r="K148">
        <v>482.85476824523414</v>
      </c>
    </row>
    <row r="149" spans="11:11" x14ac:dyDescent="0.45">
      <c r="K149">
        <v>1077.0555283771305</v>
      </c>
    </row>
    <row r="150" spans="11:11" x14ac:dyDescent="0.45">
      <c r="K150">
        <v>1338.2432891400151</v>
      </c>
    </row>
    <row r="151" spans="11:11" x14ac:dyDescent="0.45">
      <c r="K151">
        <v>1157.1792772749768</v>
      </c>
    </row>
    <row r="152" spans="11:11" x14ac:dyDescent="0.45">
      <c r="K152">
        <v>1440.4697491708566</v>
      </c>
    </row>
    <row r="153" spans="11:11" x14ac:dyDescent="0.45">
      <c r="K153">
        <v>724.89152973387377</v>
      </c>
    </row>
    <row r="154" spans="11:11" x14ac:dyDescent="0.45">
      <c r="K154">
        <v>1064.3734348156136</v>
      </c>
    </row>
    <row r="155" spans="11:11" x14ac:dyDescent="0.45">
      <c r="K155">
        <v>1792.4679472424559</v>
      </c>
    </row>
    <row r="156" spans="11:11" x14ac:dyDescent="0.45">
      <c r="K156">
        <v>1385.2739335012234</v>
      </c>
    </row>
    <row r="157" spans="11:11" x14ac:dyDescent="0.45">
      <c r="K157">
        <v>460.90119793911924</v>
      </c>
    </row>
    <row r="158" spans="11:11" x14ac:dyDescent="0.45">
      <c r="K158">
        <v>1606.0135150123804</v>
      </c>
    </row>
    <row r="159" spans="11:11" x14ac:dyDescent="0.45">
      <c r="K159">
        <v>1771.8871894951442</v>
      </c>
    </row>
    <row r="160" spans="11:11" x14ac:dyDescent="0.45">
      <c r="K160">
        <v>1505.9069822757208</v>
      </c>
    </row>
    <row r="161" spans="11:11" x14ac:dyDescent="0.45">
      <c r="K161">
        <v>570.58844021965854</v>
      </c>
    </row>
    <row r="162" spans="11:11" x14ac:dyDescent="0.45">
      <c r="K162">
        <v>1268.2167446960134</v>
      </c>
    </row>
    <row r="163" spans="11:11" x14ac:dyDescent="0.45">
      <c r="K163">
        <v>1595.543643507714</v>
      </c>
    </row>
    <row r="164" spans="11:11" x14ac:dyDescent="0.45">
      <c r="K164">
        <v>694.99961845293012</v>
      </c>
    </row>
    <row r="165" spans="11:11" x14ac:dyDescent="0.45">
      <c r="K165">
        <v>1149.5779574190226</v>
      </c>
    </row>
    <row r="166" spans="11:11" x14ac:dyDescent="0.45">
      <c r="K166">
        <v>1750.9725876594503</v>
      </c>
    </row>
    <row r="167" spans="11:11" x14ac:dyDescent="0.45">
      <c r="K167">
        <v>2296.7777883699928</v>
      </c>
    </row>
    <row r="168" spans="11:11" x14ac:dyDescent="0.45">
      <c r="K168">
        <v>1379.7824034660234</v>
      </c>
    </row>
    <row r="169" spans="11:11" x14ac:dyDescent="0.45">
      <c r="K169">
        <v>1141.7055824752406</v>
      </c>
    </row>
    <row r="170" spans="11:11" x14ac:dyDescent="0.45">
      <c r="K170">
        <v>1047.7545903474115</v>
      </c>
    </row>
    <row r="171" spans="11:11" x14ac:dyDescent="0.45">
      <c r="K171">
        <v>1169.1555829111051</v>
      </c>
    </row>
    <row r="172" spans="11:11" x14ac:dyDescent="0.45">
      <c r="K172">
        <v>1900.291370782111</v>
      </c>
    </row>
    <row r="173" spans="11:11" x14ac:dyDescent="0.45">
      <c r="K173">
        <v>1427.9126556208403</v>
      </c>
    </row>
    <row r="174" spans="11:11" x14ac:dyDescent="0.45">
      <c r="K174">
        <v>1784.0888000055525</v>
      </c>
    </row>
    <row r="175" spans="11:11" x14ac:dyDescent="0.45">
      <c r="K175">
        <v>1964.6024787956271</v>
      </c>
    </row>
    <row r="176" spans="11:11" x14ac:dyDescent="0.45">
      <c r="K176">
        <v>2139.4410029274804</v>
      </c>
    </row>
    <row r="177" spans="11:11" x14ac:dyDescent="0.45">
      <c r="K177">
        <v>1540.3950737000594</v>
      </c>
    </row>
    <row r="178" spans="11:11" x14ac:dyDescent="0.45">
      <c r="K178">
        <v>1960.2788832530166</v>
      </c>
    </row>
    <row r="179" spans="11:11" x14ac:dyDescent="0.45">
      <c r="K179">
        <v>1478.4770748326553</v>
      </c>
    </row>
    <row r="180" spans="11:11" x14ac:dyDescent="0.45">
      <c r="K180">
        <v>1588.438636121379</v>
      </c>
    </row>
    <row r="181" spans="11:11" x14ac:dyDescent="0.45">
      <c r="K181">
        <v>1470.0131178857512</v>
      </c>
    </row>
    <row r="182" spans="11:11" x14ac:dyDescent="0.45">
      <c r="K182">
        <v>1407.8681651072877</v>
      </c>
    </row>
    <row r="183" spans="11:11" x14ac:dyDescent="0.45">
      <c r="K183">
        <v>1924.9901503169672</v>
      </c>
    </row>
    <row r="184" spans="11:11" x14ac:dyDescent="0.45">
      <c r="K184">
        <v>669.32367099280305</v>
      </c>
    </row>
    <row r="185" spans="11:11" x14ac:dyDescent="0.45">
      <c r="K185">
        <v>1762.7396387862018</v>
      </c>
    </row>
    <row r="186" spans="11:11" x14ac:dyDescent="0.45">
      <c r="K186">
        <v>818.94217053697082</v>
      </c>
    </row>
    <row r="187" spans="11:11" x14ac:dyDescent="0.45">
      <c r="K187">
        <v>595.88033286161215</v>
      </c>
    </row>
    <row r="188" spans="11:11" x14ac:dyDescent="0.45">
      <c r="K188">
        <v>1185.7812613570359</v>
      </c>
    </row>
    <row r="189" spans="11:11" x14ac:dyDescent="0.45">
      <c r="K189">
        <v>1946.1481979257046</v>
      </c>
    </row>
    <row r="190" spans="11:11" x14ac:dyDescent="0.45">
      <c r="K190">
        <v>1126.2393428339956</v>
      </c>
    </row>
    <row r="191" spans="11:11" x14ac:dyDescent="0.45">
      <c r="K191">
        <v>926.40317359472874</v>
      </c>
    </row>
    <row r="192" spans="11:11" x14ac:dyDescent="0.45">
      <c r="K192">
        <v>1163.9350549571027</v>
      </c>
    </row>
    <row r="193" spans="11:11" x14ac:dyDescent="0.45">
      <c r="K193">
        <v>1639.3815012436187</v>
      </c>
    </row>
    <row r="194" spans="11:11" x14ac:dyDescent="0.45">
      <c r="K194">
        <v>1558.6377046214343</v>
      </c>
    </row>
    <row r="195" spans="11:11" x14ac:dyDescent="0.45">
      <c r="K195">
        <v>1040.6427015742249</v>
      </c>
    </row>
    <row r="196" spans="11:11" x14ac:dyDescent="0.45">
      <c r="K196">
        <v>1538.2881058118121</v>
      </c>
    </row>
    <row r="197" spans="11:11" x14ac:dyDescent="0.45">
      <c r="K197">
        <v>2062.0076487449978</v>
      </c>
    </row>
    <row r="198" spans="11:11" x14ac:dyDescent="0.45">
      <c r="K198">
        <v>2064.9887526156699</v>
      </c>
    </row>
    <row r="199" spans="11:11" x14ac:dyDescent="0.45">
      <c r="K199">
        <v>1780.2682531879268</v>
      </c>
    </row>
    <row r="200" spans="11:11" x14ac:dyDescent="0.45">
      <c r="K200">
        <v>678.63001076562807</v>
      </c>
    </row>
    <row r="201" spans="11:11" x14ac:dyDescent="0.45">
      <c r="K201">
        <v>1107.5532248434511</v>
      </c>
    </row>
    <row r="202" spans="11:11" x14ac:dyDescent="0.45">
      <c r="K202">
        <v>1498.9219383604711</v>
      </c>
    </row>
    <row r="203" spans="11:11" x14ac:dyDescent="0.45">
      <c r="K203">
        <v>236.93536689733446</v>
      </c>
    </row>
    <row r="204" spans="11:11" x14ac:dyDescent="0.45">
      <c r="K204">
        <v>2680.885950264701</v>
      </c>
    </row>
    <row r="205" spans="11:11" x14ac:dyDescent="0.45">
      <c r="K205">
        <v>1719.1797901475179</v>
      </c>
    </row>
    <row r="206" spans="11:11" x14ac:dyDescent="0.45">
      <c r="K206">
        <v>1683.0701346136987</v>
      </c>
    </row>
    <row r="207" spans="11:11" x14ac:dyDescent="0.45">
      <c r="K207">
        <v>2772.1209253042935</v>
      </c>
    </row>
    <row r="208" spans="11:11" x14ac:dyDescent="0.45">
      <c r="K208">
        <v>1840.5826636724785</v>
      </c>
    </row>
    <row r="209" spans="11:11" x14ac:dyDescent="0.45">
      <c r="K209">
        <v>517.01282344841388</v>
      </c>
    </row>
    <row r="210" spans="11:11" x14ac:dyDescent="0.45">
      <c r="K210">
        <v>2060.5430246494698</v>
      </c>
    </row>
    <row r="211" spans="11:11" x14ac:dyDescent="0.45">
      <c r="K211">
        <v>1362.6610056695147</v>
      </c>
    </row>
    <row r="212" spans="11:11" x14ac:dyDescent="0.45">
      <c r="K212">
        <v>1050.3839028470652</v>
      </c>
    </row>
    <row r="213" spans="11:11" x14ac:dyDescent="0.45">
      <c r="K213">
        <v>1029.6200155823844</v>
      </c>
    </row>
    <row r="214" spans="11:11" x14ac:dyDescent="0.45">
      <c r="K214">
        <v>1310.3611507587734</v>
      </c>
    </row>
    <row r="215" spans="11:11" x14ac:dyDescent="0.45">
      <c r="K215">
        <v>1368.715528359591</v>
      </c>
    </row>
    <row r="216" spans="11:11" x14ac:dyDescent="0.45">
      <c r="K216">
        <v>1237.5718296712414</v>
      </c>
    </row>
    <row r="217" spans="11:11" x14ac:dyDescent="0.45">
      <c r="K217">
        <v>1886.9112089166138</v>
      </c>
    </row>
    <row r="218" spans="11:11" x14ac:dyDescent="0.45">
      <c r="K218">
        <v>1645.0117741476129</v>
      </c>
    </row>
    <row r="219" spans="11:11" x14ac:dyDescent="0.45">
      <c r="K219">
        <v>1063.0834177657866</v>
      </c>
    </row>
    <row r="220" spans="11:11" x14ac:dyDescent="0.45">
      <c r="K220">
        <v>1685.0342068027267</v>
      </c>
    </row>
    <row r="221" spans="11:11" x14ac:dyDescent="0.45">
      <c r="K221">
        <v>1465.1447715643521</v>
      </c>
    </row>
    <row r="222" spans="11:11" x14ac:dyDescent="0.45">
      <c r="K222">
        <v>1080.1296939613769</v>
      </c>
    </row>
    <row r="223" spans="11:11" x14ac:dyDescent="0.45">
      <c r="K223">
        <v>1467.5522881354402</v>
      </c>
    </row>
    <row r="224" spans="11:11" x14ac:dyDescent="0.45">
      <c r="K224">
        <v>1529.0078588260096</v>
      </c>
    </row>
    <row r="225" spans="11:11" x14ac:dyDescent="0.45">
      <c r="K225">
        <v>1618.9819804564777</v>
      </c>
    </row>
    <row r="226" spans="11:11" x14ac:dyDescent="0.45">
      <c r="K226">
        <v>2337.3160214216509</v>
      </c>
    </row>
    <row r="227" spans="11:11" x14ac:dyDescent="0.45">
      <c r="K227">
        <v>1067.7934181192109</v>
      </c>
    </row>
    <row r="228" spans="11:11" x14ac:dyDescent="0.45">
      <c r="K228">
        <v>1133.7575654110783</v>
      </c>
    </row>
    <row r="229" spans="11:11" x14ac:dyDescent="0.45">
      <c r="K229">
        <v>1171.7301754431883</v>
      </c>
    </row>
    <row r="230" spans="11:11" x14ac:dyDescent="0.45">
      <c r="K230">
        <v>2889.1726160627468</v>
      </c>
    </row>
    <row r="231" spans="11:11" x14ac:dyDescent="0.45">
      <c r="K231">
        <v>1520.1959204085326</v>
      </c>
    </row>
    <row r="232" spans="11:11" x14ac:dyDescent="0.45">
      <c r="K232">
        <v>1977.6532596291661</v>
      </c>
    </row>
    <row r="233" spans="11:11" x14ac:dyDescent="0.45">
      <c r="K233">
        <v>796.21780804908269</v>
      </c>
    </row>
    <row r="234" spans="11:11" x14ac:dyDescent="0.45">
      <c r="K234">
        <v>2526.4052104235298</v>
      </c>
    </row>
    <row r="235" spans="11:11" x14ac:dyDescent="0.45">
      <c r="K235">
        <v>1437.3632957249388</v>
      </c>
    </row>
    <row r="236" spans="11:11" x14ac:dyDescent="0.45">
      <c r="K236">
        <v>1589.21434714474</v>
      </c>
    </row>
    <row r="237" spans="11:11" x14ac:dyDescent="0.45">
      <c r="K237">
        <v>2393.5247399494374</v>
      </c>
    </row>
    <row r="238" spans="11:11" x14ac:dyDescent="0.45">
      <c r="K238">
        <v>1653.6249793558568</v>
      </c>
    </row>
    <row r="239" spans="11:11" x14ac:dyDescent="0.45">
      <c r="K239">
        <v>1615.0165640586997</v>
      </c>
    </row>
    <row r="240" spans="11:11" x14ac:dyDescent="0.45">
      <c r="K240">
        <v>584.72019115052569</v>
      </c>
    </row>
    <row r="241" spans="11:11" x14ac:dyDescent="0.45">
      <c r="K241">
        <v>1271.5849280834971</v>
      </c>
    </row>
    <row r="242" spans="11:11" x14ac:dyDescent="0.45">
      <c r="K242">
        <v>0</v>
      </c>
    </row>
    <row r="243" spans="11:11" x14ac:dyDescent="0.45">
      <c r="K243">
        <v>1599.0825039655326</v>
      </c>
    </row>
    <row r="244" spans="11:11" x14ac:dyDescent="0.45">
      <c r="K244">
        <v>2141.9653623454919</v>
      </c>
    </row>
    <row r="245" spans="11:11" x14ac:dyDescent="0.45">
      <c r="K245">
        <v>1056.459894743663</v>
      </c>
    </row>
    <row r="246" spans="11:11" x14ac:dyDescent="0.45">
      <c r="K246">
        <v>1538.0267709783782</v>
      </c>
    </row>
    <row r="247" spans="11:11" x14ac:dyDescent="0.45">
      <c r="K247">
        <v>1749.8625930852618</v>
      </c>
    </row>
    <row r="248" spans="11:11" x14ac:dyDescent="0.45">
      <c r="K248">
        <v>957.31762494164605</v>
      </c>
    </row>
    <row r="249" spans="11:11" x14ac:dyDescent="0.45">
      <c r="K249">
        <v>497.72337575389463</v>
      </c>
    </row>
    <row r="250" spans="11:11" x14ac:dyDescent="0.45">
      <c r="K250">
        <v>1970.0095548320221</v>
      </c>
    </row>
    <row r="251" spans="11:11" x14ac:dyDescent="0.45">
      <c r="K251">
        <v>2170.168170880941</v>
      </c>
    </row>
    <row r="252" spans="11:11" x14ac:dyDescent="0.45">
      <c r="K252">
        <v>1474.1897170338646</v>
      </c>
    </row>
    <row r="253" spans="11:11" x14ac:dyDescent="0.45">
      <c r="K253">
        <v>1385.1906373605548</v>
      </c>
    </row>
    <row r="254" spans="11:11" x14ac:dyDescent="0.45">
      <c r="K254">
        <v>1486.6855283381867</v>
      </c>
    </row>
    <row r="255" spans="11:11" x14ac:dyDescent="0.45">
      <c r="K255">
        <v>442.47567043491313</v>
      </c>
    </row>
    <row r="256" spans="11:11" x14ac:dyDescent="0.45">
      <c r="K256">
        <v>1114.1206053992414</v>
      </c>
    </row>
    <row r="257" spans="11:11" x14ac:dyDescent="0.45">
      <c r="K257">
        <v>1343.0263006305756</v>
      </c>
    </row>
    <row r="258" spans="11:11" x14ac:dyDescent="0.45">
      <c r="K258">
        <v>1651.004752425571</v>
      </c>
    </row>
    <row r="259" spans="11:11" x14ac:dyDescent="0.45">
      <c r="K259">
        <v>1382.6908132472342</v>
      </c>
    </row>
    <row r="260" spans="11:11" x14ac:dyDescent="0.45">
      <c r="K260">
        <v>976.81623031133586</v>
      </c>
    </row>
    <row r="261" spans="11:11" x14ac:dyDescent="0.45">
      <c r="K261">
        <v>810.8047346357788</v>
      </c>
    </row>
    <row r="262" spans="11:11" x14ac:dyDescent="0.45">
      <c r="K262">
        <v>1074.3245950282287</v>
      </c>
    </row>
    <row r="263" spans="11:11" x14ac:dyDescent="0.45">
      <c r="K263">
        <v>692.54410667230661</v>
      </c>
    </row>
    <row r="264" spans="11:11" x14ac:dyDescent="0.45">
      <c r="K264">
        <v>1512.3975721394277</v>
      </c>
    </row>
    <row r="265" spans="11:11" x14ac:dyDescent="0.45">
      <c r="K265">
        <v>2195.6865007421802</v>
      </c>
    </row>
    <row r="266" spans="11:11" x14ac:dyDescent="0.45">
      <c r="K266">
        <v>1342.5218269852855</v>
      </c>
    </row>
    <row r="267" spans="11:11" x14ac:dyDescent="0.45">
      <c r="K267">
        <v>1288.5949142188208</v>
      </c>
    </row>
    <row r="268" spans="11:11" x14ac:dyDescent="0.45">
      <c r="K268">
        <v>1078.3349764866782</v>
      </c>
    </row>
    <row r="269" spans="11:11" x14ac:dyDescent="0.45">
      <c r="K269">
        <v>1119.3114037127311</v>
      </c>
    </row>
    <row r="270" spans="11:11" x14ac:dyDescent="0.45">
      <c r="K270">
        <v>2146.093932691711</v>
      </c>
    </row>
    <row r="271" spans="11:11" x14ac:dyDescent="0.45">
      <c r="K271">
        <v>1762.9035408460354</v>
      </c>
    </row>
    <row r="272" spans="11:11" x14ac:dyDescent="0.45">
      <c r="K272">
        <v>1335.424256488832</v>
      </c>
    </row>
    <row r="273" spans="11:11" x14ac:dyDescent="0.45">
      <c r="K273">
        <v>1484.2370658431287</v>
      </c>
    </row>
    <row r="274" spans="11:11" x14ac:dyDescent="0.45">
      <c r="K274">
        <v>1351.2832806666593</v>
      </c>
    </row>
    <row r="275" spans="11:11" x14ac:dyDescent="0.45">
      <c r="K275">
        <v>2724.1607700218406</v>
      </c>
    </row>
    <row r="276" spans="11:11" x14ac:dyDescent="0.45">
      <c r="K276">
        <v>1447.43756773222</v>
      </c>
    </row>
    <row r="277" spans="11:11" x14ac:dyDescent="0.45">
      <c r="K277">
        <v>1467.6358828804387</v>
      </c>
    </row>
    <row r="278" spans="11:11" x14ac:dyDescent="0.45">
      <c r="K278">
        <v>1888.5681186077379</v>
      </c>
    </row>
    <row r="279" spans="11:11" x14ac:dyDescent="0.45">
      <c r="K279">
        <v>2254.3976882006227</v>
      </c>
    </row>
    <row r="280" spans="11:11" x14ac:dyDescent="0.45">
      <c r="K280">
        <v>1540.838575876098</v>
      </c>
    </row>
    <row r="281" spans="11:11" x14ac:dyDescent="0.45">
      <c r="K281">
        <v>1032.8169336005701</v>
      </c>
    </row>
    <row r="282" spans="11:11" x14ac:dyDescent="0.45">
      <c r="K282">
        <v>1594.137570808999</v>
      </c>
    </row>
    <row r="283" spans="11:11" x14ac:dyDescent="0.45">
      <c r="K283">
        <v>1342.9071045173873</v>
      </c>
    </row>
    <row r="284" spans="11:11" x14ac:dyDescent="0.45">
      <c r="K284">
        <v>2111.9636796890918</v>
      </c>
    </row>
    <row r="285" spans="11:11" x14ac:dyDescent="0.45">
      <c r="K285">
        <v>1425.4126826422835</v>
      </c>
    </row>
    <row r="286" spans="11:11" x14ac:dyDescent="0.45">
      <c r="K286">
        <v>2411.7458759954211</v>
      </c>
    </row>
    <row r="287" spans="11:11" x14ac:dyDescent="0.45">
      <c r="K287">
        <v>426.33663581383257</v>
      </c>
    </row>
    <row r="288" spans="11:11" x14ac:dyDescent="0.45">
      <c r="K288">
        <v>1697.5362354359345</v>
      </c>
    </row>
    <row r="289" spans="11:11" x14ac:dyDescent="0.45">
      <c r="K289">
        <v>1567.4323934372592</v>
      </c>
    </row>
    <row r="290" spans="11:11" x14ac:dyDescent="0.45">
      <c r="K290">
        <v>2479.2529575313565</v>
      </c>
    </row>
    <row r="291" spans="11:11" x14ac:dyDescent="0.45">
      <c r="K291">
        <v>1854.4677088414464</v>
      </c>
    </row>
    <row r="292" spans="11:11" x14ac:dyDescent="0.45">
      <c r="K292">
        <v>1134.2629731548695</v>
      </c>
    </row>
    <row r="293" spans="11:11" x14ac:dyDescent="0.45">
      <c r="K293">
        <v>1686.673343940339</v>
      </c>
    </row>
    <row r="294" spans="11:11" x14ac:dyDescent="0.45">
      <c r="K294">
        <v>900.59248060363859</v>
      </c>
    </row>
    <row r="295" spans="11:11" x14ac:dyDescent="0.45">
      <c r="K295">
        <v>1903.183091726542</v>
      </c>
    </row>
    <row r="296" spans="11:11" x14ac:dyDescent="0.45">
      <c r="K296">
        <v>1671.9859902252176</v>
      </c>
    </row>
    <row r="297" spans="11:11" x14ac:dyDescent="0.45">
      <c r="K297">
        <v>2146.6592777897099</v>
      </c>
    </row>
    <row r="298" spans="11:11" x14ac:dyDescent="0.45">
      <c r="K298">
        <v>2422.7639640602656</v>
      </c>
    </row>
    <row r="299" spans="11:11" x14ac:dyDescent="0.45">
      <c r="K299">
        <v>1343.7245569850841</v>
      </c>
    </row>
    <row r="300" spans="11:11" x14ac:dyDescent="0.45">
      <c r="K300">
        <v>1613.5206497431284</v>
      </c>
    </row>
    <row r="301" spans="11:11" x14ac:dyDescent="0.45">
      <c r="K301">
        <v>2196.2253363934892</v>
      </c>
    </row>
    <row r="302" spans="11:11" x14ac:dyDescent="0.45">
      <c r="K302">
        <v>1942.7898759946906</v>
      </c>
    </row>
    <row r="303" spans="11:11" x14ac:dyDescent="0.45">
      <c r="K303">
        <v>1732.7837991814388</v>
      </c>
    </row>
    <row r="304" spans="11:11" x14ac:dyDescent="0.45">
      <c r="K304">
        <v>1222.3610885932032</v>
      </c>
    </row>
    <row r="305" spans="11:11" x14ac:dyDescent="0.45">
      <c r="K305">
        <v>1652.0105205166831</v>
      </c>
    </row>
    <row r="306" spans="11:11" x14ac:dyDescent="0.45">
      <c r="K306">
        <v>1190.3733115559526</v>
      </c>
    </row>
    <row r="307" spans="11:11" x14ac:dyDescent="0.45">
      <c r="K307">
        <v>582.17077977949316</v>
      </c>
    </row>
    <row r="308" spans="11:11" x14ac:dyDescent="0.45">
      <c r="K308">
        <v>1289.7555782221721</v>
      </c>
    </row>
    <row r="309" spans="11:11" x14ac:dyDescent="0.45">
      <c r="K309">
        <v>1633.2042906011804</v>
      </c>
    </row>
    <row r="310" spans="11:11" x14ac:dyDescent="0.45">
      <c r="K310">
        <v>1602.4799736313876</v>
      </c>
    </row>
    <row r="311" spans="11:11" x14ac:dyDescent="0.45">
      <c r="K311">
        <v>2354.6815129551537</v>
      </c>
    </row>
    <row r="312" spans="11:11" x14ac:dyDescent="0.45">
      <c r="K312">
        <v>617.77477702876797</v>
      </c>
    </row>
    <row r="313" spans="11:11" x14ac:dyDescent="0.45">
      <c r="K313">
        <v>972.56646344340368</v>
      </c>
    </row>
    <row r="314" spans="11:11" x14ac:dyDescent="0.45">
      <c r="K314">
        <v>1414.6775257069285</v>
      </c>
    </row>
    <row r="315" spans="11:11" x14ac:dyDescent="0.45">
      <c r="K315">
        <v>958.04400378663399</v>
      </c>
    </row>
    <row r="316" spans="11:11" x14ac:dyDescent="0.45">
      <c r="K316">
        <v>2040.0438931742756</v>
      </c>
    </row>
    <row r="317" spans="11:11" x14ac:dyDescent="0.45">
      <c r="K317">
        <v>1617.2513930178311</v>
      </c>
    </row>
    <row r="318" spans="11:11" x14ac:dyDescent="0.45">
      <c r="K318">
        <v>397.45194766086183</v>
      </c>
    </row>
    <row r="319" spans="11:11" x14ac:dyDescent="0.45">
      <c r="K319">
        <v>1432.7751479899812</v>
      </c>
    </row>
    <row r="320" spans="11:11" x14ac:dyDescent="0.45">
      <c r="K320">
        <v>1773.6194929554799</v>
      </c>
    </row>
    <row r="321" spans="11:11" x14ac:dyDescent="0.45">
      <c r="K321">
        <v>720.69479951097969</v>
      </c>
    </row>
    <row r="322" spans="11:11" x14ac:dyDescent="0.45">
      <c r="K322">
        <v>1512.3595063597688</v>
      </c>
    </row>
    <row r="323" spans="11:11" x14ac:dyDescent="0.45">
      <c r="K323">
        <v>1406.4284251384918</v>
      </c>
    </row>
    <row r="324" spans="11:11" x14ac:dyDescent="0.45">
      <c r="K324">
        <v>1031.2580990815279</v>
      </c>
    </row>
    <row r="325" spans="11:11" x14ac:dyDescent="0.45">
      <c r="K325">
        <v>1131.0351948381499</v>
      </c>
    </row>
    <row r="326" spans="11:11" x14ac:dyDescent="0.45">
      <c r="K326">
        <v>2024.1262809142481</v>
      </c>
    </row>
    <row r="327" spans="11:11" x14ac:dyDescent="0.45">
      <c r="K327">
        <v>1630.2350248952102</v>
      </c>
    </row>
    <row r="328" spans="11:11" x14ac:dyDescent="0.45">
      <c r="K328">
        <v>2076.5956540747429</v>
      </c>
    </row>
    <row r="329" spans="11:11" x14ac:dyDescent="0.45">
      <c r="K329">
        <v>1446.6568288471933</v>
      </c>
    </row>
    <row r="330" spans="11:11" x14ac:dyDescent="0.45">
      <c r="K330">
        <v>2015.0325258548764</v>
      </c>
    </row>
    <row r="331" spans="11:11" x14ac:dyDescent="0.45">
      <c r="K331">
        <v>1293.3851402275222</v>
      </c>
    </row>
    <row r="332" spans="11:11" x14ac:dyDescent="0.45">
      <c r="K332">
        <v>1143.1012450462572</v>
      </c>
    </row>
    <row r="333" spans="11:11" x14ac:dyDescent="0.45">
      <c r="K333">
        <v>1477.8970526186104</v>
      </c>
    </row>
    <row r="334" spans="11:11" x14ac:dyDescent="0.45">
      <c r="K334">
        <v>538.93759975094304</v>
      </c>
    </row>
    <row r="335" spans="11:11" x14ac:dyDescent="0.45">
      <c r="K335">
        <v>1919.4762434650424</v>
      </c>
    </row>
    <row r="336" spans="11:11" x14ac:dyDescent="0.45">
      <c r="K336">
        <v>1664.9585211993467</v>
      </c>
    </row>
    <row r="337" spans="11:11" x14ac:dyDescent="0.45">
      <c r="K337">
        <v>1331.4770815543368</v>
      </c>
    </row>
    <row r="338" spans="11:11" x14ac:dyDescent="0.45">
      <c r="K338">
        <v>2248.5738541674491</v>
      </c>
    </row>
    <row r="339" spans="11:11" x14ac:dyDescent="0.45">
      <c r="K339">
        <v>1150.543321204339</v>
      </c>
    </row>
    <row r="340" spans="11:11" x14ac:dyDescent="0.45">
      <c r="K340">
        <v>1410.1776042504268</v>
      </c>
    </row>
    <row r="341" spans="11:11" x14ac:dyDescent="0.45">
      <c r="K341">
        <v>1050.2252074690484</v>
      </c>
    </row>
    <row r="342" spans="11:11" x14ac:dyDescent="0.45">
      <c r="K342">
        <v>1596.6119129532549</v>
      </c>
    </row>
    <row r="343" spans="11:11" x14ac:dyDescent="0.45">
      <c r="K343">
        <v>1654.6441117302363</v>
      </c>
    </row>
    <row r="344" spans="11:11" x14ac:dyDescent="0.45">
      <c r="K344">
        <v>785.51487471415328</v>
      </c>
    </row>
    <row r="345" spans="11:11" x14ac:dyDescent="0.45">
      <c r="K345">
        <v>1759.8106293845376</v>
      </c>
    </row>
    <row r="346" spans="11:11" x14ac:dyDescent="0.45">
      <c r="K346">
        <v>2558.0310807644692</v>
      </c>
    </row>
    <row r="347" spans="11:11" x14ac:dyDescent="0.45">
      <c r="K347">
        <v>2515.4253205370128</v>
      </c>
    </row>
    <row r="348" spans="11:11" x14ac:dyDescent="0.45">
      <c r="K348">
        <v>1129.7021798284482</v>
      </c>
    </row>
    <row r="349" spans="11:11" x14ac:dyDescent="0.45">
      <c r="K349">
        <v>1965.4795076181808</v>
      </c>
    </row>
    <row r="350" spans="11:11" x14ac:dyDescent="0.45">
      <c r="K350">
        <v>1429.8203152344895</v>
      </c>
    </row>
    <row r="351" spans="11:11" x14ac:dyDescent="0.45">
      <c r="K351">
        <v>1569.873090017506</v>
      </c>
    </row>
    <row r="352" spans="11:11" x14ac:dyDescent="0.45">
      <c r="K352">
        <v>1107.2742820530921</v>
      </c>
    </row>
    <row r="353" spans="11:11" x14ac:dyDescent="0.45">
      <c r="K353">
        <v>1609.8441619555019</v>
      </c>
    </row>
    <row r="354" spans="11:11" x14ac:dyDescent="0.45">
      <c r="K354">
        <v>1753.7947142315024</v>
      </c>
    </row>
    <row r="355" spans="11:11" x14ac:dyDescent="0.45">
      <c r="K355">
        <v>1680.1266360525731</v>
      </c>
    </row>
    <row r="356" spans="11:11" x14ac:dyDescent="0.45">
      <c r="K356">
        <v>737.59274590066229</v>
      </c>
    </row>
    <row r="357" spans="11:11" x14ac:dyDescent="0.45">
      <c r="K357">
        <v>2081.3140662459377</v>
      </c>
    </row>
    <row r="358" spans="11:11" x14ac:dyDescent="0.45">
      <c r="K358">
        <v>552.5824431485488</v>
      </c>
    </row>
    <row r="359" spans="11:11" x14ac:dyDescent="0.45">
      <c r="K359">
        <v>1478.3881492354521</v>
      </c>
    </row>
    <row r="360" spans="11:11" x14ac:dyDescent="0.45">
      <c r="K360">
        <v>1428.0757718685838</v>
      </c>
    </row>
    <row r="361" spans="11:11" x14ac:dyDescent="0.45">
      <c r="K361">
        <v>1625.0000349558086</v>
      </c>
    </row>
    <row r="362" spans="11:11" x14ac:dyDescent="0.45">
      <c r="K362">
        <v>1050.735942902382</v>
      </c>
    </row>
    <row r="363" spans="11:11" x14ac:dyDescent="0.45">
      <c r="K363">
        <v>2013.8557464924136</v>
      </c>
    </row>
    <row r="364" spans="11:11" x14ac:dyDescent="0.45">
      <c r="K364">
        <v>1346.5846796481624</v>
      </c>
    </row>
    <row r="365" spans="11:11" x14ac:dyDescent="0.45">
      <c r="K365">
        <v>2831.7138217794063</v>
      </c>
    </row>
    <row r="366" spans="11:11" x14ac:dyDescent="0.45">
      <c r="K366">
        <v>1784.8401915454829</v>
      </c>
    </row>
    <row r="367" spans="11:11" x14ac:dyDescent="0.45">
      <c r="K367">
        <v>695.32720613498111</v>
      </c>
    </row>
    <row r="368" spans="11:11" x14ac:dyDescent="0.45">
      <c r="K368">
        <v>1100.8462015898974</v>
      </c>
    </row>
    <row r="369" spans="11:11" x14ac:dyDescent="0.45">
      <c r="K369">
        <v>2046.2484287018306</v>
      </c>
    </row>
    <row r="370" spans="11:11" x14ac:dyDescent="0.45">
      <c r="K370">
        <v>1856.01456326064</v>
      </c>
    </row>
    <row r="371" spans="11:11" x14ac:dyDescent="0.45">
      <c r="K371">
        <v>1208.7306457428099</v>
      </c>
    </row>
    <row r="372" spans="11:11" x14ac:dyDescent="0.45">
      <c r="K372">
        <v>882.41230787510369</v>
      </c>
    </row>
    <row r="373" spans="11:11" x14ac:dyDescent="0.45">
      <c r="K373">
        <v>1461.560932617851</v>
      </c>
    </row>
    <row r="374" spans="11:11" x14ac:dyDescent="0.45">
      <c r="K374">
        <v>947.34032709169958</v>
      </c>
    </row>
    <row r="375" spans="11:11" x14ac:dyDescent="0.45">
      <c r="K375">
        <v>1117.1876235231839</v>
      </c>
    </row>
    <row r="376" spans="11:11" x14ac:dyDescent="0.45">
      <c r="K376">
        <v>2266.1691267502633</v>
      </c>
    </row>
    <row r="377" spans="11:11" x14ac:dyDescent="0.45">
      <c r="K377">
        <v>1573.6485749840274</v>
      </c>
    </row>
    <row r="378" spans="11:11" x14ac:dyDescent="0.45">
      <c r="K378">
        <v>1793.1517848291739</v>
      </c>
    </row>
    <row r="379" spans="11:11" x14ac:dyDescent="0.45">
      <c r="K379">
        <v>1428.4393967219928</v>
      </c>
    </row>
    <row r="380" spans="11:11" x14ac:dyDescent="0.45">
      <c r="K380">
        <v>1931.0911553980291</v>
      </c>
    </row>
    <row r="381" spans="11:11" x14ac:dyDescent="0.45">
      <c r="K381">
        <v>1559.2715767345594</v>
      </c>
    </row>
    <row r="382" spans="11:11" x14ac:dyDescent="0.45">
      <c r="K382">
        <v>1100.3841264271609</v>
      </c>
    </row>
    <row r="383" spans="11:11" x14ac:dyDescent="0.45">
      <c r="K383">
        <v>1411.0363919577526</v>
      </c>
    </row>
    <row r="384" spans="11:11" x14ac:dyDescent="0.45">
      <c r="K384">
        <v>1078.9349180028139</v>
      </c>
    </row>
    <row r="385" spans="11:11" x14ac:dyDescent="0.45">
      <c r="K385">
        <v>748.63428543452176</v>
      </c>
    </row>
    <row r="386" spans="11:11" x14ac:dyDescent="0.45">
      <c r="K386">
        <v>2303.9025261253378</v>
      </c>
    </row>
    <row r="387" spans="11:11" x14ac:dyDescent="0.45">
      <c r="K387">
        <v>1743.1366734689864</v>
      </c>
    </row>
    <row r="388" spans="11:11" x14ac:dyDescent="0.45">
      <c r="K388">
        <v>1523.5756015315671</v>
      </c>
    </row>
    <row r="389" spans="11:11" x14ac:dyDescent="0.45">
      <c r="K389">
        <v>1711.4651525484182</v>
      </c>
    </row>
    <row r="390" spans="11:11" x14ac:dyDescent="0.45">
      <c r="K390">
        <v>508.97931542653566</v>
      </c>
    </row>
    <row r="391" spans="11:11" x14ac:dyDescent="0.45">
      <c r="K391">
        <v>1111.1440394438087</v>
      </c>
    </row>
    <row r="392" spans="11:11" x14ac:dyDescent="0.45">
      <c r="K392">
        <v>1270.1586349133108</v>
      </c>
    </row>
    <row r="393" spans="11:11" x14ac:dyDescent="0.45">
      <c r="K393">
        <v>111.68397694280225</v>
      </c>
    </row>
    <row r="394" spans="11:11" x14ac:dyDescent="0.45">
      <c r="K394">
        <v>1321.0623098383901</v>
      </c>
    </row>
    <row r="395" spans="11:11" x14ac:dyDescent="0.45">
      <c r="K395">
        <v>1037.1630747652298</v>
      </c>
    </row>
    <row r="396" spans="11:11" x14ac:dyDescent="0.45">
      <c r="K396">
        <v>2166.7822444293188</v>
      </c>
    </row>
    <row r="397" spans="11:11" x14ac:dyDescent="0.45">
      <c r="K397">
        <v>826.45672618526385</v>
      </c>
    </row>
    <row r="398" spans="11:11" x14ac:dyDescent="0.45">
      <c r="K398">
        <v>1993.5662270553007</v>
      </c>
    </row>
    <row r="399" spans="11:11" x14ac:dyDescent="0.45">
      <c r="K399">
        <v>1738.9879524304824</v>
      </c>
    </row>
    <row r="400" spans="11:11" x14ac:dyDescent="0.45">
      <c r="K400">
        <v>1376.851257048043</v>
      </c>
    </row>
    <row r="401" spans="11:11" x14ac:dyDescent="0.45">
      <c r="K401">
        <v>1453.7395632946</v>
      </c>
    </row>
    <row r="402" spans="11:11" x14ac:dyDescent="0.45">
      <c r="K402">
        <v>377.85429213142766</v>
      </c>
    </row>
    <row r="403" spans="11:11" x14ac:dyDescent="0.45">
      <c r="K403">
        <v>1345.7088403098926</v>
      </c>
    </row>
    <row r="404" spans="11:11" x14ac:dyDescent="0.45">
      <c r="K404">
        <v>1430.862136314068</v>
      </c>
    </row>
    <row r="405" spans="11:11" x14ac:dyDescent="0.45">
      <c r="K405">
        <v>1774.7479662390101</v>
      </c>
    </row>
    <row r="406" spans="11:11" x14ac:dyDescent="0.45">
      <c r="K406">
        <v>1099.7467425471427</v>
      </c>
    </row>
    <row r="407" spans="11:11" x14ac:dyDescent="0.45">
      <c r="K407">
        <v>1117.31297505259</v>
      </c>
    </row>
    <row r="408" spans="11:11" x14ac:dyDescent="0.45">
      <c r="K408">
        <v>1847.9842409859807</v>
      </c>
    </row>
    <row r="409" spans="11:11" x14ac:dyDescent="0.45">
      <c r="K409">
        <v>1232.3229502993713</v>
      </c>
    </row>
    <row r="410" spans="11:11" x14ac:dyDescent="0.45">
      <c r="K410">
        <v>641.00483949172769</v>
      </c>
    </row>
    <row r="411" spans="11:11" x14ac:dyDescent="0.45">
      <c r="K411">
        <v>2237.2561902971793</v>
      </c>
    </row>
    <row r="412" spans="11:11" x14ac:dyDescent="0.45">
      <c r="K412">
        <v>1419.1913677995608</v>
      </c>
    </row>
    <row r="413" spans="11:11" x14ac:dyDescent="0.45">
      <c r="K413">
        <v>1938.3341044847416</v>
      </c>
    </row>
    <row r="414" spans="11:11" x14ac:dyDescent="0.45">
      <c r="K414">
        <v>1461.0273785294512</v>
      </c>
    </row>
    <row r="415" spans="11:11" x14ac:dyDescent="0.45">
      <c r="K415">
        <v>957.37095198479892</v>
      </c>
    </row>
    <row r="416" spans="11:11" x14ac:dyDescent="0.45">
      <c r="K416">
        <v>1813.5885697901272</v>
      </c>
    </row>
    <row r="417" spans="11:11" x14ac:dyDescent="0.45">
      <c r="K417">
        <v>1712.5261740797241</v>
      </c>
    </row>
    <row r="418" spans="11:11" x14ac:dyDescent="0.45">
      <c r="K418">
        <v>1504.98468207264</v>
      </c>
    </row>
    <row r="419" spans="11:11" x14ac:dyDescent="0.45">
      <c r="K419">
        <v>1081.746080330789</v>
      </c>
    </row>
    <row r="420" spans="11:11" x14ac:dyDescent="0.45">
      <c r="K420">
        <v>1328.6916044949198</v>
      </c>
    </row>
    <row r="421" spans="11:11" x14ac:dyDescent="0.45">
      <c r="K421">
        <v>1819.2817930132078</v>
      </c>
    </row>
    <row r="422" spans="11:11" x14ac:dyDescent="0.45">
      <c r="K422">
        <v>1405.7786457226982</v>
      </c>
    </row>
    <row r="423" spans="11:11" x14ac:dyDescent="0.45">
      <c r="K423">
        <v>2115.920584834711</v>
      </c>
    </row>
    <row r="424" spans="11:11" x14ac:dyDescent="0.45">
      <c r="K424">
        <v>1924.3253009934556</v>
      </c>
    </row>
    <row r="425" spans="11:11" x14ac:dyDescent="0.45">
      <c r="K425">
        <v>1488.2593383073197</v>
      </c>
    </row>
    <row r="426" spans="11:11" x14ac:dyDescent="0.45">
      <c r="K426">
        <v>1031.7801443026872</v>
      </c>
    </row>
    <row r="427" spans="11:11" x14ac:dyDescent="0.45">
      <c r="K427">
        <v>228.23299368266476</v>
      </c>
    </row>
    <row r="428" spans="11:11" x14ac:dyDescent="0.45">
      <c r="K428">
        <v>1970.0570461543248</v>
      </c>
    </row>
    <row r="429" spans="11:11" x14ac:dyDescent="0.45">
      <c r="K429">
        <v>1416.8173087054456</v>
      </c>
    </row>
    <row r="430" spans="11:11" x14ac:dyDescent="0.45">
      <c r="K430">
        <v>2137.4887974716848</v>
      </c>
    </row>
    <row r="431" spans="11:11" x14ac:dyDescent="0.45">
      <c r="K431">
        <v>1259.9110204934709</v>
      </c>
    </row>
    <row r="432" spans="11:11" x14ac:dyDescent="0.45">
      <c r="K432">
        <v>1473.0044409080963</v>
      </c>
    </row>
    <row r="433" spans="11:11" x14ac:dyDescent="0.45">
      <c r="K433">
        <v>2093.7533412118191</v>
      </c>
    </row>
    <row r="434" spans="11:11" x14ac:dyDescent="0.45">
      <c r="K434">
        <v>809.11977672118371</v>
      </c>
    </row>
    <row r="435" spans="11:11" x14ac:dyDescent="0.45">
      <c r="K435">
        <v>1387.7871537693386</v>
      </c>
    </row>
    <row r="436" spans="11:11" x14ac:dyDescent="0.45">
      <c r="K436">
        <v>1553.5744196131111</v>
      </c>
    </row>
    <row r="437" spans="11:11" x14ac:dyDescent="0.45">
      <c r="K437">
        <v>1438.9209445971021</v>
      </c>
    </row>
    <row r="438" spans="11:11" x14ac:dyDescent="0.45">
      <c r="K438">
        <v>1438.1193250666665</v>
      </c>
    </row>
    <row r="439" spans="11:11" x14ac:dyDescent="0.45">
      <c r="K439">
        <v>1879.1698767772868</v>
      </c>
    </row>
    <row r="440" spans="11:11" x14ac:dyDescent="0.45">
      <c r="K440">
        <v>1180.5729479373658</v>
      </c>
    </row>
    <row r="441" spans="11:11" x14ac:dyDescent="0.45">
      <c r="K441">
        <v>1279.7391807060274</v>
      </c>
    </row>
    <row r="442" spans="11:11" x14ac:dyDescent="0.45">
      <c r="K442">
        <v>1327.2004764006456</v>
      </c>
    </row>
    <row r="443" spans="11:11" x14ac:dyDescent="0.45">
      <c r="K443">
        <v>2285.1676558813269</v>
      </c>
    </row>
    <row r="444" spans="11:11" x14ac:dyDescent="0.45">
      <c r="K444">
        <v>1552.1074891551623</v>
      </c>
    </row>
    <row r="445" spans="11:11" x14ac:dyDescent="0.45">
      <c r="K445">
        <v>1910.4173037027208</v>
      </c>
    </row>
    <row r="446" spans="11:11" x14ac:dyDescent="0.45">
      <c r="K446">
        <v>2470.7710237011415</v>
      </c>
    </row>
    <row r="447" spans="11:11" x14ac:dyDescent="0.45">
      <c r="K447">
        <v>1785.4413455211104</v>
      </c>
    </row>
    <row r="448" spans="11:11" x14ac:dyDescent="0.45">
      <c r="K448">
        <v>1175.9758113506546</v>
      </c>
    </row>
    <row r="449" spans="11:11" x14ac:dyDescent="0.45">
      <c r="K449">
        <v>1573.1710110821491</v>
      </c>
    </row>
    <row r="450" spans="11:11" x14ac:dyDescent="0.45">
      <c r="K450">
        <v>1604.3214502701428</v>
      </c>
    </row>
    <row r="451" spans="11:11" x14ac:dyDescent="0.45">
      <c r="K451">
        <v>470.6626354188171</v>
      </c>
    </row>
    <row r="452" spans="11:11" x14ac:dyDescent="0.45">
      <c r="K452">
        <v>768.85582539919881</v>
      </c>
    </row>
    <row r="453" spans="11:11" x14ac:dyDescent="0.45">
      <c r="K453">
        <v>1585.4011945898255</v>
      </c>
    </row>
    <row r="454" spans="11:11" x14ac:dyDescent="0.45">
      <c r="K454">
        <v>1512.1405874888944</v>
      </c>
    </row>
    <row r="455" spans="11:11" x14ac:dyDescent="0.45">
      <c r="K455">
        <v>1202.3950316441303</v>
      </c>
    </row>
    <row r="456" spans="11:11" x14ac:dyDescent="0.45">
      <c r="K456">
        <v>1538.2696454891211</v>
      </c>
    </row>
    <row r="457" spans="11:11" x14ac:dyDescent="0.45">
      <c r="K457">
        <v>1061.2031704174947</v>
      </c>
    </row>
    <row r="458" spans="11:11" x14ac:dyDescent="0.45">
      <c r="K458">
        <v>866.81731852473331</v>
      </c>
    </row>
    <row r="459" spans="11:11" x14ac:dyDescent="0.45">
      <c r="K459">
        <v>1464.5636510451488</v>
      </c>
    </row>
    <row r="460" spans="11:11" x14ac:dyDescent="0.45">
      <c r="K460">
        <v>1204.1780521401643</v>
      </c>
    </row>
    <row r="461" spans="11:11" x14ac:dyDescent="0.45">
      <c r="K461">
        <v>1765.821741678938</v>
      </c>
    </row>
    <row r="462" spans="11:11" x14ac:dyDescent="0.45">
      <c r="K462">
        <v>1404.980545200953</v>
      </c>
    </row>
    <row r="463" spans="11:11" x14ac:dyDescent="0.45">
      <c r="K463">
        <v>2761.6911367728571</v>
      </c>
    </row>
    <row r="464" spans="11:11" x14ac:dyDescent="0.45">
      <c r="K464">
        <v>1640.7802522907693</v>
      </c>
    </row>
    <row r="465" spans="11:11" x14ac:dyDescent="0.45">
      <c r="K465">
        <v>1289.5510729267692</v>
      </c>
    </row>
    <row r="466" spans="11:11" x14ac:dyDescent="0.45">
      <c r="K466">
        <v>1203.6974817706421</v>
      </c>
    </row>
    <row r="467" spans="11:11" x14ac:dyDescent="0.45">
      <c r="K467">
        <v>930.92878669555125</v>
      </c>
    </row>
    <row r="468" spans="11:11" x14ac:dyDescent="0.45">
      <c r="K468">
        <v>1584.2800109558664</v>
      </c>
    </row>
    <row r="469" spans="11:11" x14ac:dyDescent="0.45">
      <c r="K469">
        <v>1274.8543951127206</v>
      </c>
    </row>
    <row r="470" spans="11:11" x14ac:dyDescent="0.45">
      <c r="K470">
        <v>1446.0591540721209</v>
      </c>
    </row>
    <row r="471" spans="11:11" x14ac:dyDescent="0.45">
      <c r="K471">
        <v>1195.9816853161503</v>
      </c>
    </row>
    <row r="472" spans="11:11" x14ac:dyDescent="0.45">
      <c r="K472">
        <v>1420.7939490802853</v>
      </c>
    </row>
    <row r="473" spans="11:11" x14ac:dyDescent="0.45">
      <c r="K473">
        <v>996.18245574683579</v>
      </c>
    </row>
    <row r="474" spans="11:11" x14ac:dyDescent="0.45">
      <c r="K474">
        <v>1551.0921322085171</v>
      </c>
    </row>
    <row r="475" spans="11:11" x14ac:dyDescent="0.45">
      <c r="K475">
        <v>1386.5684666032614</v>
      </c>
    </row>
    <row r="476" spans="11:11" x14ac:dyDescent="0.45">
      <c r="K476">
        <v>872.60120140848232</v>
      </c>
    </row>
    <row r="477" spans="11:11" x14ac:dyDescent="0.45">
      <c r="K477">
        <v>1453.1927800649833</v>
      </c>
    </row>
    <row r="478" spans="11:11" x14ac:dyDescent="0.45">
      <c r="K478">
        <v>1968.3053197756044</v>
      </c>
    </row>
    <row r="479" spans="11:11" x14ac:dyDescent="0.45">
      <c r="K479">
        <v>1468.7032464556803</v>
      </c>
    </row>
    <row r="480" spans="11:11" x14ac:dyDescent="0.45">
      <c r="K480">
        <v>1195.7952950892513</v>
      </c>
    </row>
    <row r="481" spans="11:11" x14ac:dyDescent="0.45">
      <c r="K481">
        <v>1369.8447683578713</v>
      </c>
    </row>
    <row r="482" spans="11:11" x14ac:dyDescent="0.45">
      <c r="K482">
        <v>1370.6241328573299</v>
      </c>
    </row>
    <row r="483" spans="11:11" x14ac:dyDescent="0.45">
      <c r="K483">
        <v>1464.1660183844376</v>
      </c>
    </row>
    <row r="484" spans="11:11" x14ac:dyDescent="0.45">
      <c r="K484">
        <v>2063.5259760276917</v>
      </c>
    </row>
    <row r="485" spans="11:11" x14ac:dyDescent="0.45">
      <c r="K485">
        <v>1857.5602655375167</v>
      </c>
    </row>
    <row r="486" spans="11:11" x14ac:dyDescent="0.45">
      <c r="K486">
        <v>1330.0764347679847</v>
      </c>
    </row>
    <row r="487" spans="11:11" x14ac:dyDescent="0.45">
      <c r="K487">
        <v>1253.4315976871935</v>
      </c>
    </row>
    <row r="488" spans="11:11" x14ac:dyDescent="0.45">
      <c r="K488">
        <v>1607.2039063152597</v>
      </c>
    </row>
    <row r="489" spans="11:11" x14ac:dyDescent="0.45">
      <c r="K489">
        <v>1972.9934111842372</v>
      </c>
    </row>
    <row r="490" spans="11:11" x14ac:dyDescent="0.45">
      <c r="K490">
        <v>1883.916136345204</v>
      </c>
    </row>
    <row r="491" spans="11:11" x14ac:dyDescent="0.45">
      <c r="K491">
        <v>2105.3181608442833</v>
      </c>
    </row>
    <row r="492" spans="11:11" x14ac:dyDescent="0.45">
      <c r="K492">
        <v>1792.66561784754</v>
      </c>
    </row>
    <row r="493" spans="11:11" x14ac:dyDescent="0.45">
      <c r="K493">
        <v>583.40031998346183</v>
      </c>
    </row>
    <row r="494" spans="11:11" x14ac:dyDescent="0.45">
      <c r="K494">
        <v>1775.9672057867945</v>
      </c>
    </row>
    <row r="495" spans="11:11" x14ac:dyDescent="0.45">
      <c r="K495">
        <v>1508.142715692052</v>
      </c>
    </row>
    <row r="496" spans="11:11" x14ac:dyDescent="0.45">
      <c r="K496">
        <v>988.39318665443818</v>
      </c>
    </row>
    <row r="497" spans="11:11" x14ac:dyDescent="0.45">
      <c r="K497">
        <v>1627.6345173303596</v>
      </c>
    </row>
    <row r="498" spans="11:11" x14ac:dyDescent="0.45">
      <c r="K498">
        <v>1301.6555402996792</v>
      </c>
    </row>
    <row r="499" spans="11:11" x14ac:dyDescent="0.45">
      <c r="K499">
        <v>2282.6036585535658</v>
      </c>
    </row>
    <row r="500" spans="11:11" x14ac:dyDescent="0.45">
      <c r="K500">
        <v>985.10258632276464</v>
      </c>
    </row>
    <row r="501" spans="11:11" x14ac:dyDescent="0.45">
      <c r="K501">
        <v>2349.2215208006783</v>
      </c>
    </row>
    <row r="502" spans="11:11" x14ac:dyDescent="0.45">
      <c r="K502">
        <v>1774.7005461138324</v>
      </c>
    </row>
    <row r="503" spans="11:11" x14ac:dyDescent="0.45">
      <c r="K503">
        <v>2028.9319874711182</v>
      </c>
    </row>
    <row r="504" spans="11:11" x14ac:dyDescent="0.45">
      <c r="K504">
        <v>1187.0620366714054</v>
      </c>
    </row>
    <row r="505" spans="11:11" x14ac:dyDescent="0.45">
      <c r="K505">
        <v>1718.0775083630992</v>
      </c>
    </row>
    <row r="506" spans="11:11" x14ac:dyDescent="0.45">
      <c r="K506">
        <v>1236.8317800053921</v>
      </c>
    </row>
    <row r="507" spans="11:11" x14ac:dyDescent="0.45">
      <c r="K507">
        <v>1119.1750743445346</v>
      </c>
    </row>
    <row r="508" spans="11:11" x14ac:dyDescent="0.45">
      <c r="K508">
        <v>1802.0192348292665</v>
      </c>
    </row>
    <row r="509" spans="11:11" x14ac:dyDescent="0.45">
      <c r="K509">
        <v>866.4412593572838</v>
      </c>
    </row>
    <row r="510" spans="11:11" x14ac:dyDescent="0.45">
      <c r="K510">
        <v>1568.160782989313</v>
      </c>
    </row>
    <row r="511" spans="11:11" x14ac:dyDescent="0.45">
      <c r="K511">
        <v>896.57482764131305</v>
      </c>
    </row>
    <row r="512" spans="11:11" x14ac:dyDescent="0.45">
      <c r="K512">
        <v>1352.7025396966148</v>
      </c>
    </row>
    <row r="513" spans="11:11" x14ac:dyDescent="0.45">
      <c r="K513">
        <v>1029.4447924054275</v>
      </c>
    </row>
    <row r="514" spans="11:11" x14ac:dyDescent="0.45">
      <c r="K514">
        <v>1759.8845651903289</v>
      </c>
    </row>
    <row r="515" spans="11:11" x14ac:dyDescent="0.45">
      <c r="K515">
        <v>1329.9540800555685</v>
      </c>
    </row>
    <row r="516" spans="11:11" x14ac:dyDescent="0.45">
      <c r="K516">
        <v>889.52137080034015</v>
      </c>
    </row>
    <row r="517" spans="11:11" x14ac:dyDescent="0.45">
      <c r="K517">
        <v>2110.4548385270746</v>
      </c>
    </row>
    <row r="518" spans="11:11" x14ac:dyDescent="0.45">
      <c r="K518">
        <v>2161.0181901145834</v>
      </c>
    </row>
    <row r="519" spans="11:11" x14ac:dyDescent="0.45">
      <c r="K519">
        <v>1132.98375293203</v>
      </c>
    </row>
    <row r="520" spans="11:11" x14ac:dyDescent="0.45">
      <c r="K520">
        <v>1034.9657409237195</v>
      </c>
    </row>
    <row r="521" spans="11:11" x14ac:dyDescent="0.45">
      <c r="K521">
        <v>924.91972255218843</v>
      </c>
    </row>
    <row r="522" spans="11:11" x14ac:dyDescent="0.45">
      <c r="K522">
        <v>2158.5922400254644</v>
      </c>
    </row>
    <row r="523" spans="11:11" x14ac:dyDescent="0.45">
      <c r="K523">
        <v>1229.8152460085864</v>
      </c>
    </row>
    <row r="524" spans="11:11" x14ac:dyDescent="0.45">
      <c r="K524">
        <v>1334.1662779576459</v>
      </c>
    </row>
    <row r="525" spans="11:11" x14ac:dyDescent="0.45">
      <c r="K525">
        <v>2369.7427785773452</v>
      </c>
    </row>
    <row r="526" spans="11:11" x14ac:dyDescent="0.45">
      <c r="K526">
        <v>1609.6537924132961</v>
      </c>
    </row>
    <row r="527" spans="11:11" x14ac:dyDescent="0.45">
      <c r="K527">
        <v>1615.9805090422433</v>
      </c>
    </row>
    <row r="528" spans="11:11" x14ac:dyDescent="0.45">
      <c r="K528">
        <v>1869.1033514653991</v>
      </c>
    </row>
    <row r="529" spans="11:11" x14ac:dyDescent="0.45">
      <c r="K529">
        <v>1015.1078037504374</v>
      </c>
    </row>
    <row r="530" spans="11:11" x14ac:dyDescent="0.45">
      <c r="K530">
        <v>898.15211310309382</v>
      </c>
    </row>
    <row r="531" spans="11:11" x14ac:dyDescent="0.45">
      <c r="K531">
        <v>775.07584576668864</v>
      </c>
    </row>
    <row r="532" spans="11:11" x14ac:dyDescent="0.45">
      <c r="K532">
        <v>1419.1634962295077</v>
      </c>
    </row>
    <row r="533" spans="11:11" x14ac:dyDescent="0.45">
      <c r="K533">
        <v>1399.2153514158504</v>
      </c>
    </row>
    <row r="534" spans="11:11" x14ac:dyDescent="0.45">
      <c r="K534">
        <v>1705.9237815503693</v>
      </c>
    </row>
    <row r="535" spans="11:11" x14ac:dyDescent="0.45">
      <c r="K535">
        <v>1256.041024838825</v>
      </c>
    </row>
    <row r="536" spans="11:11" x14ac:dyDescent="0.45">
      <c r="K536">
        <v>1526.0817209434204</v>
      </c>
    </row>
    <row r="537" spans="11:11" x14ac:dyDescent="0.45">
      <c r="K537">
        <v>2021.3553922498404</v>
      </c>
    </row>
    <row r="538" spans="11:11" x14ac:dyDescent="0.45">
      <c r="K538">
        <v>775.87645301419082</v>
      </c>
    </row>
    <row r="539" spans="11:11" x14ac:dyDescent="0.45">
      <c r="K539">
        <v>1635.4818950281062</v>
      </c>
    </row>
    <row r="540" spans="11:11" x14ac:dyDescent="0.45">
      <c r="K540">
        <v>763.19999080604975</v>
      </c>
    </row>
    <row r="541" spans="11:11" x14ac:dyDescent="0.45">
      <c r="K541">
        <v>1387.2881836485387</v>
      </c>
    </row>
    <row r="542" spans="11:11" x14ac:dyDescent="0.45">
      <c r="K542">
        <v>1258.5567292684605</v>
      </c>
    </row>
    <row r="543" spans="11:11" x14ac:dyDescent="0.45">
      <c r="K543">
        <v>1964.0447045176036</v>
      </c>
    </row>
    <row r="544" spans="11:11" x14ac:dyDescent="0.45">
      <c r="K544">
        <v>1336.9318166078835</v>
      </c>
    </row>
    <row r="545" spans="11:11" x14ac:dyDescent="0.45">
      <c r="K545">
        <v>2429.0363686642982</v>
      </c>
    </row>
    <row r="546" spans="11:11" x14ac:dyDescent="0.45">
      <c r="K546">
        <v>1115.0995151243242</v>
      </c>
    </row>
    <row r="547" spans="11:11" x14ac:dyDescent="0.45">
      <c r="K547">
        <v>836.91258240638558</v>
      </c>
    </row>
    <row r="548" spans="11:11" x14ac:dyDescent="0.45">
      <c r="K548">
        <v>828.06538667312952</v>
      </c>
    </row>
    <row r="549" spans="11:11" x14ac:dyDescent="0.45">
      <c r="K549">
        <v>1481.8015722880057</v>
      </c>
    </row>
    <row r="550" spans="11:11" x14ac:dyDescent="0.45">
      <c r="K550">
        <v>1405.610637987513</v>
      </c>
    </row>
    <row r="551" spans="11:11" x14ac:dyDescent="0.45">
      <c r="K551">
        <v>1595.6410723449624</v>
      </c>
    </row>
    <row r="552" spans="11:11" x14ac:dyDescent="0.45">
      <c r="K552">
        <v>1682.6271851404617</v>
      </c>
    </row>
    <row r="553" spans="11:11" x14ac:dyDescent="0.45">
      <c r="K553">
        <v>1636.1513370405319</v>
      </c>
    </row>
    <row r="554" spans="11:11" x14ac:dyDescent="0.45">
      <c r="K554">
        <v>714.63666813455438</v>
      </c>
    </row>
    <row r="555" spans="11:11" x14ac:dyDescent="0.45">
      <c r="K555">
        <v>1351.6701073954957</v>
      </c>
    </row>
    <row r="556" spans="11:11" x14ac:dyDescent="0.45">
      <c r="K556">
        <v>1046.4432717873897</v>
      </c>
    </row>
    <row r="557" spans="11:11" x14ac:dyDescent="0.45">
      <c r="K557">
        <v>1337.1251506210401</v>
      </c>
    </row>
    <row r="558" spans="11:11" x14ac:dyDescent="0.45">
      <c r="K558">
        <v>1723.6289439659122</v>
      </c>
    </row>
    <row r="559" spans="11:11" x14ac:dyDescent="0.45">
      <c r="K559">
        <v>1613.541701874341</v>
      </c>
    </row>
    <row r="560" spans="11:11" x14ac:dyDescent="0.45">
      <c r="K560">
        <v>1782.9675245475378</v>
      </c>
    </row>
    <row r="561" spans="11:11" x14ac:dyDescent="0.45">
      <c r="K561">
        <v>1109.1270116719329</v>
      </c>
    </row>
    <row r="562" spans="11:11" x14ac:dyDescent="0.45">
      <c r="K562">
        <v>1566.5549129296519</v>
      </c>
    </row>
    <row r="563" spans="11:11" x14ac:dyDescent="0.45">
      <c r="K563">
        <v>1980.0149854209217</v>
      </c>
    </row>
    <row r="564" spans="11:11" x14ac:dyDescent="0.45">
      <c r="K564">
        <v>1332.3636901344455</v>
      </c>
    </row>
    <row r="565" spans="11:11" x14ac:dyDescent="0.45">
      <c r="K565">
        <v>1395.9206176678235</v>
      </c>
    </row>
    <row r="566" spans="11:11" x14ac:dyDescent="0.45">
      <c r="K566">
        <v>1671.8365713713931</v>
      </c>
    </row>
    <row r="567" spans="11:11" x14ac:dyDescent="0.45">
      <c r="K567">
        <v>1683.9467770514752</v>
      </c>
    </row>
    <row r="568" spans="11:11" x14ac:dyDescent="0.45">
      <c r="K568">
        <v>783.8005770070439</v>
      </c>
    </row>
    <row r="569" spans="11:11" x14ac:dyDescent="0.45">
      <c r="K569">
        <v>1196.1911319966027</v>
      </c>
    </row>
    <row r="570" spans="11:11" x14ac:dyDescent="0.45">
      <c r="K570">
        <v>1370.1443996769931</v>
      </c>
    </row>
    <row r="571" spans="11:11" x14ac:dyDescent="0.45">
      <c r="K571">
        <v>1223.8500691479737</v>
      </c>
    </row>
    <row r="572" spans="11:11" x14ac:dyDescent="0.45">
      <c r="K572">
        <v>1204.9489139831592</v>
      </c>
    </row>
    <row r="573" spans="11:11" x14ac:dyDescent="0.45">
      <c r="K573">
        <v>951.08986899284946</v>
      </c>
    </row>
    <row r="574" spans="11:11" x14ac:dyDescent="0.45">
      <c r="K574">
        <v>922.90860860264957</v>
      </c>
    </row>
    <row r="575" spans="11:11" x14ac:dyDescent="0.45">
      <c r="K575">
        <v>1888.6684075775572</v>
      </c>
    </row>
    <row r="576" spans="11:11" x14ac:dyDescent="0.45">
      <c r="K576">
        <v>2117.8491711626475</v>
      </c>
    </row>
    <row r="577" spans="11:11" x14ac:dyDescent="0.45">
      <c r="K577">
        <v>1674.4290344731253</v>
      </c>
    </row>
    <row r="578" spans="11:11" x14ac:dyDescent="0.45">
      <c r="K578">
        <v>1511.2984266633334</v>
      </c>
    </row>
    <row r="579" spans="11:11" x14ac:dyDescent="0.45">
      <c r="K579">
        <v>1604.9116023720512</v>
      </c>
    </row>
    <row r="580" spans="11:11" x14ac:dyDescent="0.45">
      <c r="K580">
        <v>1201.8021216815064</v>
      </c>
    </row>
    <row r="581" spans="11:11" x14ac:dyDescent="0.45">
      <c r="K581">
        <v>1232.5944761525352</v>
      </c>
    </row>
    <row r="582" spans="11:11" x14ac:dyDescent="0.45">
      <c r="K582">
        <v>1664.6055111066862</v>
      </c>
    </row>
    <row r="583" spans="11:11" x14ac:dyDescent="0.45">
      <c r="K583">
        <v>1075.6452145424048</v>
      </c>
    </row>
    <row r="584" spans="11:11" x14ac:dyDescent="0.45">
      <c r="K584">
        <v>1841.4354251419236</v>
      </c>
    </row>
    <row r="585" spans="11:11" x14ac:dyDescent="0.45">
      <c r="K585">
        <v>1607.7695823637134</v>
      </c>
    </row>
    <row r="586" spans="11:11" x14ac:dyDescent="0.45">
      <c r="K586">
        <v>1999.2712999777279</v>
      </c>
    </row>
    <row r="587" spans="11:11" x14ac:dyDescent="0.45">
      <c r="K587">
        <v>827.06925131819287</v>
      </c>
    </row>
    <row r="588" spans="11:11" x14ac:dyDescent="0.45">
      <c r="K588">
        <v>825.86041518409684</v>
      </c>
    </row>
    <row r="589" spans="11:11" x14ac:dyDescent="0.45">
      <c r="K589">
        <v>975.66130927496056</v>
      </c>
    </row>
    <row r="590" spans="11:11" x14ac:dyDescent="0.45">
      <c r="K590">
        <v>1170.8982735391864</v>
      </c>
    </row>
    <row r="591" spans="11:11" x14ac:dyDescent="0.45">
      <c r="K591">
        <v>1628.0835823741995</v>
      </c>
    </row>
    <row r="592" spans="11:11" x14ac:dyDescent="0.45">
      <c r="K592">
        <v>2064.7651638549919</v>
      </c>
    </row>
    <row r="593" spans="11:11" x14ac:dyDescent="0.45">
      <c r="K593">
        <v>454.02926940659211</v>
      </c>
    </row>
    <row r="594" spans="11:11" x14ac:dyDescent="0.45">
      <c r="K594">
        <v>2149.3312363864497</v>
      </c>
    </row>
    <row r="595" spans="11:11" x14ac:dyDescent="0.45">
      <c r="K595">
        <v>513.83048123020512</v>
      </c>
    </row>
    <row r="596" spans="11:11" x14ac:dyDescent="0.45">
      <c r="K596">
        <v>1326.6580302015261</v>
      </c>
    </row>
    <row r="597" spans="11:11" x14ac:dyDescent="0.45">
      <c r="K597">
        <v>2014.4116675526232</v>
      </c>
    </row>
    <row r="598" spans="11:11" x14ac:dyDescent="0.45">
      <c r="K598">
        <v>1867.5897494419214</v>
      </c>
    </row>
    <row r="599" spans="11:11" x14ac:dyDescent="0.45">
      <c r="K599">
        <v>2088.5034632606294</v>
      </c>
    </row>
    <row r="600" spans="11:11" x14ac:dyDescent="0.45">
      <c r="K600">
        <v>1265.2744337733961</v>
      </c>
    </row>
    <row r="601" spans="11:11" x14ac:dyDescent="0.45">
      <c r="K601">
        <v>1183.270054858443</v>
      </c>
    </row>
    <row r="602" spans="11:11" x14ac:dyDescent="0.45">
      <c r="K602">
        <v>1744.8046082530616</v>
      </c>
    </row>
    <row r="603" spans="11:11" x14ac:dyDescent="0.45">
      <c r="K603">
        <v>1160.3298515482115</v>
      </c>
    </row>
    <row r="604" spans="11:11" x14ac:dyDescent="0.45">
      <c r="K604">
        <v>777.53040550311425</v>
      </c>
    </row>
    <row r="605" spans="11:11" x14ac:dyDescent="0.45">
      <c r="K605">
        <v>1463.7621357877651</v>
      </c>
    </row>
    <row r="606" spans="11:11" x14ac:dyDescent="0.45">
      <c r="K606">
        <v>1096.2194963182808</v>
      </c>
    </row>
    <row r="607" spans="11:11" x14ac:dyDescent="0.45">
      <c r="K607">
        <v>1924.8837260808045</v>
      </c>
    </row>
    <row r="608" spans="11:11" x14ac:dyDescent="0.45">
      <c r="K608">
        <v>1727.7907849448986</v>
      </c>
    </row>
    <row r="609" spans="11:11" x14ac:dyDescent="0.45">
      <c r="K609">
        <v>1435.2031858583364</v>
      </c>
    </row>
    <row r="610" spans="11:11" x14ac:dyDescent="0.45">
      <c r="K610">
        <v>1584.423643079966</v>
      </c>
    </row>
    <row r="611" spans="11:11" x14ac:dyDescent="0.45">
      <c r="K611">
        <v>553.31264058810405</v>
      </c>
    </row>
    <row r="612" spans="11:11" x14ac:dyDescent="0.45">
      <c r="K612">
        <v>1741.3898496255752</v>
      </c>
    </row>
    <row r="613" spans="11:11" x14ac:dyDescent="0.45">
      <c r="K613">
        <v>1638.3833349146146</v>
      </c>
    </row>
    <row r="614" spans="11:11" x14ac:dyDescent="0.45">
      <c r="K614">
        <v>562.18260784044594</v>
      </c>
    </row>
    <row r="615" spans="11:11" x14ac:dyDescent="0.45">
      <c r="K615">
        <v>1133.8337785149793</v>
      </c>
    </row>
    <row r="616" spans="11:11" x14ac:dyDescent="0.45">
      <c r="K616">
        <v>1037.9898920783703</v>
      </c>
    </row>
    <row r="617" spans="11:11" x14ac:dyDescent="0.45">
      <c r="K617">
        <v>1785.7237019437532</v>
      </c>
    </row>
    <row r="618" spans="11:11" x14ac:dyDescent="0.45">
      <c r="K618">
        <v>1991.1990812302929</v>
      </c>
    </row>
    <row r="619" spans="11:11" x14ac:dyDescent="0.45">
      <c r="K619">
        <v>1239.0018739012553</v>
      </c>
    </row>
    <row r="620" spans="11:11" x14ac:dyDescent="0.45">
      <c r="K620">
        <v>2160.3440316850615</v>
      </c>
    </row>
    <row r="621" spans="11:11" x14ac:dyDescent="0.45">
      <c r="K621">
        <v>1565.8404475360169</v>
      </c>
    </row>
    <row r="622" spans="11:11" x14ac:dyDescent="0.45">
      <c r="K622">
        <v>914.66119448359075</v>
      </c>
    </row>
    <row r="623" spans="11:11" x14ac:dyDescent="0.45">
      <c r="K623">
        <v>1673.7778390475507</v>
      </c>
    </row>
    <row r="624" spans="11:11" x14ac:dyDescent="0.45">
      <c r="K624">
        <v>1620.0016390143523</v>
      </c>
    </row>
    <row r="625" spans="11:11" x14ac:dyDescent="0.45">
      <c r="K625">
        <v>1711.7820501634835</v>
      </c>
    </row>
    <row r="626" spans="11:11" x14ac:dyDescent="0.45">
      <c r="K626">
        <v>1856.1563312863598</v>
      </c>
    </row>
    <row r="627" spans="11:11" x14ac:dyDescent="0.45">
      <c r="K627">
        <v>2044.6860679971537</v>
      </c>
    </row>
    <row r="628" spans="11:11" x14ac:dyDescent="0.45">
      <c r="K628">
        <v>782.2209817651684</v>
      </c>
    </row>
    <row r="629" spans="11:11" x14ac:dyDescent="0.45">
      <c r="K629">
        <v>1539.5375008585124</v>
      </c>
    </row>
    <row r="630" spans="11:11" x14ac:dyDescent="0.45">
      <c r="K630">
        <v>772.15325333682677</v>
      </c>
    </row>
    <row r="631" spans="11:11" x14ac:dyDescent="0.45">
      <c r="K631">
        <v>823.23061039852143</v>
      </c>
    </row>
    <row r="632" spans="11:11" x14ac:dyDescent="0.45">
      <c r="K632">
        <v>1834.6115279604801</v>
      </c>
    </row>
    <row r="633" spans="11:11" x14ac:dyDescent="0.45">
      <c r="K633">
        <v>1232.6687484780391</v>
      </c>
    </row>
    <row r="634" spans="11:11" x14ac:dyDescent="0.45">
      <c r="K634">
        <v>1756.885397239389</v>
      </c>
    </row>
    <row r="635" spans="11:11" x14ac:dyDescent="0.45">
      <c r="K635">
        <v>861.48915818820853</v>
      </c>
    </row>
    <row r="636" spans="11:11" x14ac:dyDescent="0.45">
      <c r="K636">
        <v>750.90969359423184</v>
      </c>
    </row>
    <row r="637" spans="11:11" x14ac:dyDescent="0.45">
      <c r="K637">
        <v>1793.7792537691073</v>
      </c>
    </row>
    <row r="638" spans="11:11" x14ac:dyDescent="0.45">
      <c r="K638">
        <v>1065.4037457121999</v>
      </c>
    </row>
    <row r="639" spans="11:11" x14ac:dyDescent="0.45">
      <c r="K639">
        <v>2407.5689135341513</v>
      </c>
    </row>
    <row r="640" spans="11:11" x14ac:dyDescent="0.45">
      <c r="K640">
        <v>1951.2470104565957</v>
      </c>
    </row>
    <row r="641" spans="11:11" x14ac:dyDescent="0.45">
      <c r="K641">
        <v>1121.7341289765709</v>
      </c>
    </row>
    <row r="642" spans="11:11" x14ac:dyDescent="0.45">
      <c r="K642">
        <v>1485.6524551017492</v>
      </c>
    </row>
    <row r="643" spans="11:11" x14ac:dyDescent="0.45">
      <c r="K643">
        <v>1767.5938635731891</v>
      </c>
    </row>
    <row r="644" spans="11:11" x14ac:dyDescent="0.45">
      <c r="K644">
        <v>1434.168641897458</v>
      </c>
    </row>
    <row r="645" spans="11:11" x14ac:dyDescent="0.45">
      <c r="K645">
        <v>1244.9321470683162</v>
      </c>
    </row>
    <row r="646" spans="11:11" x14ac:dyDescent="0.45">
      <c r="K646">
        <v>681.78521958886984</v>
      </c>
    </row>
    <row r="647" spans="11:11" x14ac:dyDescent="0.45">
      <c r="K647">
        <v>1807.847898601372</v>
      </c>
    </row>
    <row r="648" spans="11:11" x14ac:dyDescent="0.45">
      <c r="K648">
        <v>3102.3124559715734</v>
      </c>
    </row>
    <row r="649" spans="11:11" x14ac:dyDescent="0.45">
      <c r="K649">
        <v>993.750289047764</v>
      </c>
    </row>
    <row r="650" spans="11:11" x14ac:dyDescent="0.45">
      <c r="K650">
        <v>1615.7387853154485</v>
      </c>
    </row>
    <row r="651" spans="11:11" x14ac:dyDescent="0.45">
      <c r="K651">
        <v>1443.0500800109819</v>
      </c>
    </row>
    <row r="652" spans="11:11" x14ac:dyDescent="0.45">
      <c r="K652">
        <v>708.30159797264298</v>
      </c>
    </row>
    <row r="653" spans="11:11" x14ac:dyDescent="0.45">
      <c r="K653">
        <v>1924.7564224531989</v>
      </c>
    </row>
    <row r="654" spans="11:11" x14ac:dyDescent="0.45">
      <c r="K654">
        <v>606.73666402915103</v>
      </c>
    </row>
    <row r="655" spans="11:11" x14ac:dyDescent="0.45">
      <c r="K655">
        <v>1423.6236271903858</v>
      </c>
    </row>
    <row r="656" spans="11:11" x14ac:dyDescent="0.45">
      <c r="K656">
        <v>1640.5482088473864</v>
      </c>
    </row>
    <row r="657" spans="11:11" x14ac:dyDescent="0.45">
      <c r="K657">
        <v>788.39392442475025</v>
      </c>
    </row>
    <row r="658" spans="11:11" x14ac:dyDescent="0.45">
      <c r="K658">
        <v>1986.0841419502954</v>
      </c>
    </row>
    <row r="659" spans="11:11" x14ac:dyDescent="0.45">
      <c r="K659">
        <v>1978.3115187131523</v>
      </c>
    </row>
    <row r="660" spans="11:11" x14ac:dyDescent="0.45">
      <c r="K660">
        <v>1307.9517002133634</v>
      </c>
    </row>
    <row r="661" spans="11:11" x14ac:dyDescent="0.45">
      <c r="K661">
        <v>2624.7942084335864</v>
      </c>
    </row>
    <row r="662" spans="11:11" x14ac:dyDescent="0.45">
      <c r="K662">
        <v>499.50398601774327</v>
      </c>
    </row>
    <row r="663" spans="11:11" x14ac:dyDescent="0.45">
      <c r="K663">
        <v>1818.4642234979601</v>
      </c>
    </row>
    <row r="664" spans="11:11" x14ac:dyDescent="0.45">
      <c r="K664">
        <v>2335.1295704118311</v>
      </c>
    </row>
    <row r="665" spans="11:11" x14ac:dyDescent="0.45">
      <c r="K665">
        <v>1115.5513739260584</v>
      </c>
    </row>
    <row r="666" spans="11:11" x14ac:dyDescent="0.45">
      <c r="K666">
        <v>1894.2427335532409</v>
      </c>
    </row>
    <row r="667" spans="11:11" x14ac:dyDescent="0.45">
      <c r="K667">
        <v>1763.3761550391307</v>
      </c>
    </row>
    <row r="668" spans="11:11" x14ac:dyDescent="0.45">
      <c r="K668">
        <v>1837.1391016914445</v>
      </c>
    </row>
    <row r="669" spans="11:11" x14ac:dyDescent="0.45">
      <c r="K669">
        <v>678.45484146653746</v>
      </c>
    </row>
    <row r="670" spans="11:11" x14ac:dyDescent="0.45">
      <c r="K670">
        <v>762.9126043408769</v>
      </c>
    </row>
    <row r="671" spans="11:11" x14ac:dyDescent="0.45">
      <c r="K671">
        <v>1632.8720272968885</v>
      </c>
    </row>
    <row r="672" spans="11:11" x14ac:dyDescent="0.45">
      <c r="K672">
        <v>334.83474632070966</v>
      </c>
    </row>
    <row r="673" spans="11:11" x14ac:dyDescent="0.45">
      <c r="K673">
        <v>1625.1366051470302</v>
      </c>
    </row>
    <row r="674" spans="11:11" x14ac:dyDescent="0.45">
      <c r="K674">
        <v>1888.14237423039</v>
      </c>
    </row>
    <row r="675" spans="11:11" x14ac:dyDescent="0.45">
      <c r="K675">
        <v>1601.1034545178377</v>
      </c>
    </row>
    <row r="676" spans="11:11" x14ac:dyDescent="0.45">
      <c r="K676">
        <v>1542.587525173863</v>
      </c>
    </row>
    <row r="677" spans="11:11" x14ac:dyDescent="0.45">
      <c r="K677">
        <v>539.33442528468481</v>
      </c>
    </row>
    <row r="678" spans="11:11" x14ac:dyDescent="0.45">
      <c r="K678">
        <v>1178.0066528843427</v>
      </c>
    </row>
    <row r="679" spans="11:11" x14ac:dyDescent="0.45">
      <c r="K679">
        <v>2140.7692906527382</v>
      </c>
    </row>
    <row r="680" spans="11:11" x14ac:dyDescent="0.45">
      <c r="K680">
        <v>2007.2344054647001</v>
      </c>
    </row>
    <row r="681" spans="11:11" x14ac:dyDescent="0.45">
      <c r="K681">
        <v>1732.5123733647215</v>
      </c>
    </row>
    <row r="682" spans="11:11" x14ac:dyDescent="0.45">
      <c r="K682">
        <v>1544.0191923545615</v>
      </c>
    </row>
    <row r="683" spans="11:11" x14ac:dyDescent="0.45">
      <c r="K683">
        <v>1061.8920082494521</v>
      </c>
    </row>
    <row r="684" spans="11:11" x14ac:dyDescent="0.45">
      <c r="K684">
        <v>2410.4261510104366</v>
      </c>
    </row>
    <row r="685" spans="11:11" x14ac:dyDescent="0.45">
      <c r="K685">
        <v>1323.8907289995927</v>
      </c>
    </row>
    <row r="686" spans="11:11" x14ac:dyDescent="0.45">
      <c r="K686">
        <v>2182.3878817257105</v>
      </c>
    </row>
    <row r="687" spans="11:11" x14ac:dyDescent="0.45">
      <c r="K687">
        <v>912.9063236261851</v>
      </c>
    </row>
    <row r="688" spans="11:11" x14ac:dyDescent="0.45">
      <c r="K688">
        <v>1365.1424333477401</v>
      </c>
    </row>
    <row r="689" spans="11:11" x14ac:dyDescent="0.45">
      <c r="K689">
        <v>972.9466726449532</v>
      </c>
    </row>
    <row r="690" spans="11:11" x14ac:dyDescent="0.45">
      <c r="K690">
        <v>1859.0731613494381</v>
      </c>
    </row>
    <row r="691" spans="11:11" x14ac:dyDescent="0.45">
      <c r="K691">
        <v>1109.231728747209</v>
      </c>
    </row>
    <row r="692" spans="11:11" x14ac:dyDescent="0.45">
      <c r="K692">
        <v>922.51167458892655</v>
      </c>
    </row>
    <row r="693" spans="11:11" x14ac:dyDescent="0.45">
      <c r="K693">
        <v>1896.3061333096734</v>
      </c>
    </row>
    <row r="694" spans="11:11" x14ac:dyDescent="0.45">
      <c r="K694">
        <v>2278.4850348356913</v>
      </c>
    </row>
    <row r="695" spans="11:11" x14ac:dyDescent="0.45">
      <c r="K695">
        <v>893.87060890823443</v>
      </c>
    </row>
    <row r="696" spans="11:11" x14ac:dyDescent="0.45">
      <c r="K696">
        <v>1668.9110485140293</v>
      </c>
    </row>
    <row r="697" spans="11:11" x14ac:dyDescent="0.45">
      <c r="K697">
        <v>2024.5426789477424</v>
      </c>
    </row>
    <row r="698" spans="11:11" x14ac:dyDescent="0.45">
      <c r="K698">
        <v>473.72668897081576</v>
      </c>
    </row>
    <row r="699" spans="11:11" x14ac:dyDescent="0.45">
      <c r="K699">
        <v>1375.7458182270727</v>
      </c>
    </row>
    <row r="700" spans="11:11" x14ac:dyDescent="0.45">
      <c r="K700">
        <v>1117.1242632482345</v>
      </c>
    </row>
    <row r="701" spans="11:11" x14ac:dyDescent="0.45">
      <c r="K701">
        <v>1841.5752970394988</v>
      </c>
    </row>
    <row r="702" spans="11:11" x14ac:dyDescent="0.45">
      <c r="K702">
        <v>1786.3187442199176</v>
      </c>
    </row>
    <row r="703" spans="11:11" x14ac:dyDescent="0.45">
      <c r="K703">
        <v>1456.4734983226253</v>
      </c>
    </row>
    <row r="704" spans="11:11" x14ac:dyDescent="0.45">
      <c r="K704">
        <v>1343.1270154148617</v>
      </c>
    </row>
    <row r="705" spans="11:11" x14ac:dyDescent="0.45">
      <c r="K705">
        <v>1606.5094596501942</v>
      </c>
    </row>
    <row r="706" spans="11:11" x14ac:dyDescent="0.45">
      <c r="K706">
        <v>1436.3661559724756</v>
      </c>
    </row>
    <row r="707" spans="11:11" x14ac:dyDescent="0.45">
      <c r="K707">
        <v>1581.2884495434905</v>
      </c>
    </row>
    <row r="708" spans="11:11" x14ac:dyDescent="0.45">
      <c r="K708">
        <v>1053.7310885732995</v>
      </c>
    </row>
    <row r="709" spans="11:11" x14ac:dyDescent="0.45">
      <c r="K709">
        <v>1486.9550592158143</v>
      </c>
    </row>
    <row r="710" spans="11:11" x14ac:dyDescent="0.45">
      <c r="K710">
        <v>1003.5423914473388</v>
      </c>
    </row>
    <row r="711" spans="11:11" x14ac:dyDescent="0.45">
      <c r="K711">
        <v>927.63836442006937</v>
      </c>
    </row>
    <row r="712" spans="11:11" x14ac:dyDescent="0.45">
      <c r="K712">
        <v>1352.3215741479935</v>
      </c>
    </row>
    <row r="713" spans="11:11" x14ac:dyDescent="0.45">
      <c r="K713">
        <v>1027.4051056441167</v>
      </c>
    </row>
    <row r="714" spans="11:11" x14ac:dyDescent="0.45">
      <c r="K714">
        <v>1490.1966012603289</v>
      </c>
    </row>
    <row r="715" spans="11:11" x14ac:dyDescent="0.45">
      <c r="K715">
        <v>1236.2288425987224</v>
      </c>
    </row>
    <row r="716" spans="11:11" x14ac:dyDescent="0.45">
      <c r="K716">
        <v>1886.7671295914336</v>
      </c>
    </row>
    <row r="717" spans="11:11" x14ac:dyDescent="0.45">
      <c r="K717">
        <v>1443.9522547149736</v>
      </c>
    </row>
    <row r="718" spans="11:11" x14ac:dyDescent="0.45">
      <c r="K718">
        <v>1733.3733336887844</v>
      </c>
    </row>
    <row r="719" spans="11:11" x14ac:dyDescent="0.45">
      <c r="K719">
        <v>1148.1124028561894</v>
      </c>
    </row>
    <row r="720" spans="11:11" x14ac:dyDescent="0.45">
      <c r="K720">
        <v>1306.9860746044044</v>
      </c>
    </row>
    <row r="721" spans="11:11" x14ac:dyDescent="0.45">
      <c r="K721">
        <v>1881.0250825100597</v>
      </c>
    </row>
    <row r="722" spans="11:11" x14ac:dyDescent="0.45">
      <c r="K722">
        <v>1358.5952997918164</v>
      </c>
    </row>
    <row r="723" spans="11:11" x14ac:dyDescent="0.45">
      <c r="K723">
        <v>1275.5535146446871</v>
      </c>
    </row>
    <row r="724" spans="11:11" x14ac:dyDescent="0.45">
      <c r="K724">
        <v>1703.1836894316973</v>
      </c>
    </row>
    <row r="725" spans="11:11" x14ac:dyDescent="0.45">
      <c r="K725">
        <v>2052.1880639213496</v>
      </c>
    </row>
    <row r="726" spans="11:11" x14ac:dyDescent="0.45">
      <c r="K726">
        <v>658.92466726668135</v>
      </c>
    </row>
    <row r="727" spans="11:11" x14ac:dyDescent="0.45">
      <c r="K727">
        <v>2072.0198108498371</v>
      </c>
    </row>
    <row r="728" spans="11:11" x14ac:dyDescent="0.45">
      <c r="K728">
        <v>1163.0352058422654</v>
      </c>
    </row>
    <row r="729" spans="11:11" x14ac:dyDescent="0.45">
      <c r="K729">
        <v>1602.0794045430223</v>
      </c>
    </row>
    <row r="730" spans="11:11" x14ac:dyDescent="0.45">
      <c r="K730">
        <v>1413.1971863884839</v>
      </c>
    </row>
    <row r="731" spans="11:11" x14ac:dyDescent="0.45">
      <c r="K731">
        <v>1254.6603042626796</v>
      </c>
    </row>
    <row r="732" spans="11:11" x14ac:dyDescent="0.45">
      <c r="K732">
        <v>2081.1977548434234</v>
      </c>
    </row>
    <row r="733" spans="11:11" x14ac:dyDescent="0.45">
      <c r="K733">
        <v>1437.2759377034909</v>
      </c>
    </row>
    <row r="734" spans="11:11" x14ac:dyDescent="0.45">
      <c r="K734">
        <v>1694.5218667754364</v>
      </c>
    </row>
    <row r="735" spans="11:11" x14ac:dyDescent="0.45">
      <c r="K735">
        <v>1131.6814038941338</v>
      </c>
    </row>
    <row r="736" spans="11:11" x14ac:dyDescent="0.45">
      <c r="K736">
        <v>2080.5155187878472</v>
      </c>
    </row>
    <row r="737" spans="11:11" x14ac:dyDescent="0.45">
      <c r="K737">
        <v>734.20725659240532</v>
      </c>
    </row>
    <row r="738" spans="11:11" x14ac:dyDescent="0.45">
      <c r="K738">
        <v>1793.3020688308263</v>
      </c>
    </row>
    <row r="739" spans="11:11" x14ac:dyDescent="0.45">
      <c r="K739">
        <v>2391.5371316442483</v>
      </c>
    </row>
    <row r="740" spans="11:11" x14ac:dyDescent="0.45">
      <c r="K740">
        <v>1626.9566177500849</v>
      </c>
    </row>
    <row r="741" spans="11:11" x14ac:dyDescent="0.45">
      <c r="K741">
        <v>625.76618409649291</v>
      </c>
    </row>
    <row r="742" spans="11:11" x14ac:dyDescent="0.45">
      <c r="K742">
        <v>1209.3933996832034</v>
      </c>
    </row>
    <row r="743" spans="11:11" x14ac:dyDescent="0.45">
      <c r="K743">
        <v>1412.9377449661008</v>
      </c>
    </row>
    <row r="744" spans="11:11" x14ac:dyDescent="0.45">
      <c r="K744">
        <v>1639.2208220384991</v>
      </c>
    </row>
    <row r="745" spans="11:11" x14ac:dyDescent="0.45">
      <c r="K745">
        <v>1793.2783759471711</v>
      </c>
    </row>
    <row r="746" spans="11:11" x14ac:dyDescent="0.45">
      <c r="K746">
        <v>604.28349727486625</v>
      </c>
    </row>
    <row r="747" spans="11:11" x14ac:dyDescent="0.45">
      <c r="K747">
        <v>1576.0015313346626</v>
      </c>
    </row>
    <row r="748" spans="11:11" x14ac:dyDescent="0.45">
      <c r="K748">
        <v>1455.7585880877295</v>
      </c>
    </row>
    <row r="749" spans="11:11" x14ac:dyDescent="0.45">
      <c r="K749">
        <v>1905.7627227943526</v>
      </c>
    </row>
    <row r="750" spans="11:11" x14ac:dyDescent="0.45">
      <c r="K750">
        <v>630.47763808694481</v>
      </c>
    </row>
    <row r="751" spans="11:11" x14ac:dyDescent="0.45">
      <c r="K751">
        <v>1466.2423048441747</v>
      </c>
    </row>
    <row r="752" spans="11:11" x14ac:dyDescent="0.45">
      <c r="K752">
        <v>1511.4177628286905</v>
      </c>
    </row>
    <row r="753" spans="11:11" x14ac:dyDescent="0.45">
      <c r="K753">
        <v>489.46900892387043</v>
      </c>
    </row>
    <row r="754" spans="11:11" x14ac:dyDescent="0.45">
      <c r="K754">
        <v>1955.8681375118524</v>
      </c>
    </row>
    <row r="755" spans="11:11" x14ac:dyDescent="0.45">
      <c r="K755">
        <v>975.66687096474629</v>
      </c>
    </row>
    <row r="756" spans="11:11" x14ac:dyDescent="0.45">
      <c r="K756">
        <v>1667.2911899885521</v>
      </c>
    </row>
    <row r="757" spans="11:11" x14ac:dyDescent="0.45">
      <c r="K757">
        <v>1175.3199949091772</v>
      </c>
    </row>
    <row r="758" spans="11:11" x14ac:dyDescent="0.45">
      <c r="K758">
        <v>1759.7134301906324</v>
      </c>
    </row>
    <row r="759" spans="11:11" x14ac:dyDescent="0.45">
      <c r="K759">
        <v>1345.7730854806171</v>
      </c>
    </row>
    <row r="760" spans="11:11" x14ac:dyDescent="0.45">
      <c r="K760">
        <v>1143.8060629544982</v>
      </c>
    </row>
    <row r="761" spans="11:11" x14ac:dyDescent="0.45">
      <c r="K761">
        <v>1571.8547134793737</v>
      </c>
    </row>
    <row r="762" spans="11:11" x14ac:dyDescent="0.45">
      <c r="K762">
        <v>1610.5668511974554</v>
      </c>
    </row>
    <row r="763" spans="11:11" x14ac:dyDescent="0.45">
      <c r="K763">
        <v>2079.206989013473</v>
      </c>
    </row>
    <row r="764" spans="11:11" x14ac:dyDescent="0.45">
      <c r="K764">
        <v>1819.653192183438</v>
      </c>
    </row>
    <row r="765" spans="11:11" x14ac:dyDescent="0.45">
      <c r="K765">
        <v>1965.4149935733869</v>
      </c>
    </row>
    <row r="766" spans="11:11" x14ac:dyDescent="0.45">
      <c r="K766">
        <v>793.42448182154544</v>
      </c>
    </row>
    <row r="767" spans="11:11" x14ac:dyDescent="0.45">
      <c r="K767">
        <v>1640.2861491949991</v>
      </c>
    </row>
    <row r="768" spans="11:11" x14ac:dyDescent="0.45">
      <c r="K768">
        <v>983.28837678795003</v>
      </c>
    </row>
    <row r="769" spans="11:11" x14ac:dyDescent="0.45">
      <c r="K769">
        <v>1496.4620663201417</v>
      </c>
    </row>
    <row r="770" spans="11:11" x14ac:dyDescent="0.45">
      <c r="K770">
        <v>761.5503562637706</v>
      </c>
    </row>
    <row r="771" spans="11:11" x14ac:dyDescent="0.45">
      <c r="K771">
        <v>1132.6906201263569</v>
      </c>
    </row>
    <row r="772" spans="11:11" x14ac:dyDescent="0.45">
      <c r="K772">
        <v>1399.9793443170324</v>
      </c>
    </row>
    <row r="773" spans="11:11" x14ac:dyDescent="0.45">
      <c r="K773">
        <v>1353.3932205991409</v>
      </c>
    </row>
    <row r="774" spans="11:11" x14ac:dyDescent="0.45">
      <c r="K774">
        <v>238.14183882745215</v>
      </c>
    </row>
    <row r="775" spans="11:11" x14ac:dyDescent="0.45">
      <c r="K775">
        <v>1330.0796679299985</v>
      </c>
    </row>
    <row r="776" spans="11:11" x14ac:dyDescent="0.45">
      <c r="K776">
        <v>1263.3243568898697</v>
      </c>
    </row>
    <row r="777" spans="11:11" x14ac:dyDescent="0.45">
      <c r="K777">
        <v>2207.4865029516141</v>
      </c>
    </row>
    <row r="778" spans="11:11" x14ac:dyDescent="0.45">
      <c r="K778">
        <v>1506.8084781704533</v>
      </c>
    </row>
    <row r="779" spans="11:11" x14ac:dyDescent="0.45">
      <c r="K779">
        <v>1248.4814355648491</v>
      </c>
    </row>
    <row r="780" spans="11:11" x14ac:dyDescent="0.45">
      <c r="K780">
        <v>1849.259583569707</v>
      </c>
    </row>
    <row r="781" spans="11:11" x14ac:dyDescent="0.45">
      <c r="K781">
        <v>1478.9978193137408</v>
      </c>
    </row>
    <row r="782" spans="11:11" x14ac:dyDescent="0.45">
      <c r="K782">
        <v>1138.2977976853767</v>
      </c>
    </row>
    <row r="783" spans="11:11" x14ac:dyDescent="0.45">
      <c r="K783">
        <v>1506.7808481825257</v>
      </c>
    </row>
    <row r="784" spans="11:11" x14ac:dyDescent="0.45">
      <c r="K784">
        <v>1423.8768548018415</v>
      </c>
    </row>
    <row r="785" spans="11:11" x14ac:dyDescent="0.45">
      <c r="K785">
        <v>1375.8986624142508</v>
      </c>
    </row>
    <row r="786" spans="11:11" x14ac:dyDescent="0.45">
      <c r="K786">
        <v>1602.9567557846406</v>
      </c>
    </row>
    <row r="787" spans="11:11" x14ac:dyDescent="0.45">
      <c r="K787">
        <v>1615.2442642424119</v>
      </c>
    </row>
    <row r="788" spans="11:11" x14ac:dyDescent="0.45">
      <c r="K788">
        <v>1642.8128436902111</v>
      </c>
    </row>
    <row r="789" spans="11:11" x14ac:dyDescent="0.45">
      <c r="K789">
        <v>1859.5471692296446</v>
      </c>
    </row>
    <row r="790" spans="11:11" x14ac:dyDescent="0.45">
      <c r="K790">
        <v>1339.6876199661717</v>
      </c>
    </row>
    <row r="791" spans="11:11" x14ac:dyDescent="0.45">
      <c r="K791">
        <v>1386.0944936180601</v>
      </c>
    </row>
    <row r="792" spans="11:11" x14ac:dyDescent="0.45">
      <c r="K792">
        <v>1658.1248894395969</v>
      </c>
    </row>
    <row r="793" spans="11:11" x14ac:dyDescent="0.45">
      <c r="K793">
        <v>1130.7765137193271</v>
      </c>
    </row>
    <row r="794" spans="11:11" x14ac:dyDescent="0.45">
      <c r="K794">
        <v>1236.7558899945179</v>
      </c>
    </row>
    <row r="795" spans="11:11" x14ac:dyDescent="0.45">
      <c r="K795">
        <v>722.20860334504243</v>
      </c>
    </row>
    <row r="796" spans="11:11" x14ac:dyDescent="0.45">
      <c r="K796">
        <v>991.23438818474585</v>
      </c>
    </row>
    <row r="797" spans="11:11" x14ac:dyDescent="0.45">
      <c r="K797">
        <v>862.72503995260854</v>
      </c>
    </row>
    <row r="798" spans="11:11" x14ac:dyDescent="0.45">
      <c r="K798">
        <v>1539.1890817237029</v>
      </c>
    </row>
    <row r="799" spans="11:11" x14ac:dyDescent="0.45">
      <c r="K799">
        <v>1391.3073374367814</v>
      </c>
    </row>
    <row r="800" spans="11:11" x14ac:dyDescent="0.45">
      <c r="K800">
        <v>1314.0264578398487</v>
      </c>
    </row>
    <row r="801" spans="11:11" x14ac:dyDescent="0.45">
      <c r="K801">
        <v>1041.5625324556856</v>
      </c>
    </row>
    <row r="802" spans="11:11" x14ac:dyDescent="0.45">
      <c r="K802">
        <v>883.49279224535564</v>
      </c>
    </row>
    <row r="803" spans="11:11" x14ac:dyDescent="0.45">
      <c r="K803">
        <v>1703.2044252479386</v>
      </c>
    </row>
    <row r="804" spans="11:11" x14ac:dyDescent="0.45">
      <c r="K804">
        <v>1007.5827963572901</v>
      </c>
    </row>
    <row r="805" spans="11:11" x14ac:dyDescent="0.45">
      <c r="K805">
        <v>1685.8572954969129</v>
      </c>
    </row>
    <row r="806" spans="11:11" x14ac:dyDescent="0.45">
      <c r="K806">
        <v>2539.8937624800956</v>
      </c>
    </row>
    <row r="807" spans="11:11" x14ac:dyDescent="0.45">
      <c r="K807">
        <v>1051.5417696064562</v>
      </c>
    </row>
    <row r="808" spans="11:11" x14ac:dyDescent="0.45">
      <c r="K808">
        <v>1341.7854833328561</v>
      </c>
    </row>
    <row r="809" spans="11:11" x14ac:dyDescent="0.45">
      <c r="K809">
        <v>1080.0377084660802</v>
      </c>
    </row>
    <row r="810" spans="11:11" x14ac:dyDescent="0.45">
      <c r="K810">
        <v>846.39789388904444</v>
      </c>
    </row>
    <row r="811" spans="11:11" x14ac:dyDescent="0.45">
      <c r="K811">
        <v>1166.4654788173093</v>
      </c>
    </row>
    <row r="812" spans="11:11" x14ac:dyDescent="0.45">
      <c r="K812">
        <v>2009.0192754013024</v>
      </c>
    </row>
    <row r="813" spans="11:11" x14ac:dyDescent="0.45">
      <c r="K813">
        <v>1522.9453051022342</v>
      </c>
    </row>
    <row r="814" spans="11:11" x14ac:dyDescent="0.45">
      <c r="K814">
        <v>1014.2958540509368</v>
      </c>
    </row>
    <row r="815" spans="11:11" x14ac:dyDescent="0.45">
      <c r="K815">
        <v>1030.6664228260051</v>
      </c>
    </row>
    <row r="816" spans="11:11" x14ac:dyDescent="0.45">
      <c r="K816">
        <v>2083.5383716582705</v>
      </c>
    </row>
    <row r="817" spans="11:11" x14ac:dyDescent="0.45">
      <c r="K817">
        <v>1893.2041352202355</v>
      </c>
    </row>
    <row r="818" spans="11:11" x14ac:dyDescent="0.45">
      <c r="K818">
        <v>2049.7602599095635</v>
      </c>
    </row>
    <row r="819" spans="11:11" x14ac:dyDescent="0.45">
      <c r="K819">
        <v>2438.5849835874697</v>
      </c>
    </row>
    <row r="820" spans="11:11" x14ac:dyDescent="0.45">
      <c r="K820">
        <v>1614.0227986507318</v>
      </c>
    </row>
    <row r="821" spans="11:11" x14ac:dyDescent="0.45">
      <c r="K821">
        <v>1248.9758612159574</v>
      </c>
    </row>
    <row r="822" spans="11:11" x14ac:dyDescent="0.45">
      <c r="K822">
        <v>1315.0387747577802</v>
      </c>
    </row>
    <row r="823" spans="11:11" x14ac:dyDescent="0.45">
      <c r="K823">
        <v>883.72247155934758</v>
      </c>
    </row>
    <row r="824" spans="11:11" x14ac:dyDescent="0.45">
      <c r="K824">
        <v>1908.4281797398166</v>
      </c>
    </row>
    <row r="825" spans="11:11" x14ac:dyDescent="0.45">
      <c r="K825">
        <v>1757.9119874649009</v>
      </c>
    </row>
    <row r="826" spans="11:11" x14ac:dyDescent="0.45">
      <c r="K826">
        <v>470.1766285066974</v>
      </c>
    </row>
    <row r="827" spans="11:11" x14ac:dyDescent="0.45">
      <c r="K827">
        <v>2364.9288642220017</v>
      </c>
    </row>
    <row r="828" spans="11:11" x14ac:dyDescent="0.45">
      <c r="K828">
        <v>2516.0790074979413</v>
      </c>
    </row>
    <row r="829" spans="11:11" x14ac:dyDescent="0.45">
      <c r="K829">
        <v>2110.9213884550086</v>
      </c>
    </row>
    <row r="830" spans="11:11" x14ac:dyDescent="0.45">
      <c r="K830">
        <v>1030.9884973800933</v>
      </c>
    </row>
    <row r="831" spans="11:11" x14ac:dyDescent="0.45">
      <c r="K831">
        <v>2013.0427525117229</v>
      </c>
    </row>
    <row r="832" spans="11:11" x14ac:dyDescent="0.45">
      <c r="K832">
        <v>1636.2196011769192</v>
      </c>
    </row>
    <row r="833" spans="11:11" x14ac:dyDescent="0.45">
      <c r="K833">
        <v>1180.1847082241929</v>
      </c>
    </row>
    <row r="834" spans="11:11" x14ac:dyDescent="0.45">
      <c r="K834">
        <v>2182.8438741922373</v>
      </c>
    </row>
    <row r="835" spans="11:11" x14ac:dyDescent="0.45">
      <c r="K835">
        <v>580.81121689452698</v>
      </c>
    </row>
    <row r="836" spans="11:11" x14ac:dyDescent="0.45">
      <c r="K836">
        <v>1281.2812772962232</v>
      </c>
    </row>
    <row r="837" spans="11:11" x14ac:dyDescent="0.45">
      <c r="K837">
        <v>1831.433052061104</v>
      </c>
    </row>
    <row r="838" spans="11:11" x14ac:dyDescent="0.45">
      <c r="K838">
        <v>753.76500097881194</v>
      </c>
    </row>
    <row r="839" spans="11:11" x14ac:dyDescent="0.45">
      <c r="K839">
        <v>1206.3239415490009</v>
      </c>
    </row>
    <row r="840" spans="11:11" x14ac:dyDescent="0.45">
      <c r="K840">
        <v>1667.2516899235648</v>
      </c>
    </row>
    <row r="841" spans="11:11" x14ac:dyDescent="0.45">
      <c r="K841">
        <v>1016.9785519797333</v>
      </c>
    </row>
    <row r="842" spans="11:11" x14ac:dyDescent="0.45">
      <c r="K842">
        <v>2420.6910928502684</v>
      </c>
    </row>
    <row r="843" spans="11:11" x14ac:dyDescent="0.45">
      <c r="K843">
        <v>1882.5375910447588</v>
      </c>
    </row>
    <row r="844" spans="11:11" x14ac:dyDescent="0.45">
      <c r="K844">
        <v>1940.5187805928338</v>
      </c>
    </row>
    <row r="845" spans="11:11" x14ac:dyDescent="0.45">
      <c r="K845">
        <v>1104.8083209322963</v>
      </c>
    </row>
    <row r="846" spans="11:11" x14ac:dyDescent="0.45">
      <c r="K846">
        <v>1907.5104401647529</v>
      </c>
    </row>
    <row r="847" spans="11:11" x14ac:dyDescent="0.45">
      <c r="K847">
        <v>1321.1109565158988</v>
      </c>
    </row>
    <row r="848" spans="11:11" x14ac:dyDescent="0.45">
      <c r="K848">
        <v>573.94897123552448</v>
      </c>
    </row>
    <row r="849" spans="11:11" x14ac:dyDescent="0.45">
      <c r="K849">
        <v>2280.6153580783557</v>
      </c>
    </row>
    <row r="850" spans="11:11" x14ac:dyDescent="0.45">
      <c r="K850">
        <v>1851.3175182667433</v>
      </c>
    </row>
    <row r="851" spans="11:11" x14ac:dyDescent="0.45">
      <c r="K851">
        <v>1554.6499209401472</v>
      </c>
    </row>
    <row r="852" spans="11:11" x14ac:dyDescent="0.45">
      <c r="K852">
        <v>1199.1944470828782</v>
      </c>
    </row>
    <row r="853" spans="11:11" x14ac:dyDescent="0.45">
      <c r="K853">
        <v>1817.3889604259396</v>
      </c>
    </row>
    <row r="854" spans="11:11" x14ac:dyDescent="0.45">
      <c r="K854">
        <v>2008.0229729084972</v>
      </c>
    </row>
    <row r="855" spans="11:11" x14ac:dyDescent="0.45">
      <c r="K855">
        <v>1844.1581686112577</v>
      </c>
    </row>
    <row r="856" spans="11:11" x14ac:dyDescent="0.45">
      <c r="K856">
        <v>1018.0981144104294</v>
      </c>
    </row>
    <row r="857" spans="11:11" x14ac:dyDescent="0.45">
      <c r="K857">
        <v>1430.8057939984139</v>
      </c>
    </row>
    <row r="858" spans="11:11" x14ac:dyDescent="0.45">
      <c r="K858">
        <v>1682.4189663820048</v>
      </c>
    </row>
    <row r="859" spans="11:11" x14ac:dyDescent="0.45">
      <c r="K859">
        <v>2272.7404495497703</v>
      </c>
    </row>
    <row r="860" spans="11:11" x14ac:dyDescent="0.45">
      <c r="K860">
        <v>1952.8892222419183</v>
      </c>
    </row>
    <row r="861" spans="11:11" x14ac:dyDescent="0.45">
      <c r="K861">
        <v>1931.9240723696989</v>
      </c>
    </row>
    <row r="862" spans="11:11" x14ac:dyDescent="0.45">
      <c r="K862">
        <v>2167.6359944246851</v>
      </c>
    </row>
    <row r="863" spans="11:11" x14ac:dyDescent="0.45">
      <c r="K863">
        <v>1353.6713948675974</v>
      </c>
    </row>
    <row r="864" spans="11:11" x14ac:dyDescent="0.45">
      <c r="K864">
        <v>1261.0322833162122</v>
      </c>
    </row>
    <row r="865" spans="11:11" x14ac:dyDescent="0.45">
      <c r="K865">
        <v>1151.1152666098253</v>
      </c>
    </row>
    <row r="866" spans="11:11" x14ac:dyDescent="0.45">
      <c r="K866">
        <v>1214.8048595351684</v>
      </c>
    </row>
    <row r="867" spans="11:11" x14ac:dyDescent="0.45">
      <c r="K867">
        <v>948.52582808029786</v>
      </c>
    </row>
    <row r="868" spans="11:11" x14ac:dyDescent="0.45">
      <c r="K868">
        <v>1069.7943878601886</v>
      </c>
    </row>
    <row r="869" spans="11:11" x14ac:dyDescent="0.45">
      <c r="K869">
        <v>1620.1028565698803</v>
      </c>
    </row>
    <row r="870" spans="11:11" x14ac:dyDescent="0.45">
      <c r="K870">
        <v>742.51858109403054</v>
      </c>
    </row>
    <row r="871" spans="11:11" x14ac:dyDescent="0.45">
      <c r="K871">
        <v>624.38324784632766</v>
      </c>
    </row>
    <row r="872" spans="11:11" x14ac:dyDescent="0.45">
      <c r="K872">
        <v>1495.0063740267631</v>
      </c>
    </row>
    <row r="873" spans="11:11" x14ac:dyDescent="0.45">
      <c r="K873">
        <v>1327.3758888699811</v>
      </c>
    </row>
    <row r="874" spans="11:11" x14ac:dyDescent="0.45">
      <c r="K874">
        <v>692.96587896424808</v>
      </c>
    </row>
    <row r="875" spans="11:11" x14ac:dyDescent="0.45">
      <c r="K875">
        <v>885.28871840204329</v>
      </c>
    </row>
    <row r="876" spans="11:11" x14ac:dyDescent="0.45">
      <c r="K876">
        <v>1572.2156605888558</v>
      </c>
    </row>
    <row r="877" spans="11:11" x14ac:dyDescent="0.45">
      <c r="K877">
        <v>943.01450848922354</v>
      </c>
    </row>
    <row r="878" spans="11:11" x14ac:dyDescent="0.45">
      <c r="K878">
        <v>1574.5610279041844</v>
      </c>
    </row>
    <row r="879" spans="11:11" x14ac:dyDescent="0.45">
      <c r="K879">
        <v>1141.4789398885546</v>
      </c>
    </row>
    <row r="880" spans="11:11" x14ac:dyDescent="0.45">
      <c r="K880">
        <v>1837.9390591682297</v>
      </c>
    </row>
    <row r="881" spans="11:11" x14ac:dyDescent="0.45">
      <c r="K881">
        <v>1151.593056354006</v>
      </c>
    </row>
    <row r="882" spans="11:11" x14ac:dyDescent="0.45">
      <c r="K882">
        <v>1129.0225290585811</v>
      </c>
    </row>
    <row r="883" spans="11:11" x14ac:dyDescent="0.45">
      <c r="K883">
        <v>1368.6136367601903</v>
      </c>
    </row>
    <row r="884" spans="11:11" x14ac:dyDescent="0.45">
      <c r="K884">
        <v>2100.5727437144556</v>
      </c>
    </row>
    <row r="885" spans="11:11" x14ac:dyDescent="0.45">
      <c r="K885">
        <v>1383.2934235972884</v>
      </c>
    </row>
    <row r="886" spans="11:11" x14ac:dyDescent="0.45">
      <c r="K886">
        <v>1734.6141293337441</v>
      </c>
    </row>
    <row r="887" spans="11:11" x14ac:dyDescent="0.45">
      <c r="K887">
        <v>1467.1772020932583</v>
      </c>
    </row>
    <row r="888" spans="11:11" x14ac:dyDescent="0.45">
      <c r="K888">
        <v>1594.5406584879038</v>
      </c>
    </row>
    <row r="889" spans="11:11" x14ac:dyDescent="0.45">
      <c r="K889">
        <v>2013.6703414934932</v>
      </c>
    </row>
    <row r="890" spans="11:11" x14ac:dyDescent="0.45">
      <c r="K890">
        <v>1990.9993241954551</v>
      </c>
    </row>
    <row r="891" spans="11:11" x14ac:dyDescent="0.45">
      <c r="K891">
        <v>1677.105432438756</v>
      </c>
    </row>
    <row r="892" spans="11:11" x14ac:dyDescent="0.45">
      <c r="K892">
        <v>1088.4897292666501</v>
      </c>
    </row>
    <row r="893" spans="11:11" x14ac:dyDescent="0.45">
      <c r="K893">
        <v>1444.5268267004026</v>
      </c>
    </row>
    <row r="894" spans="11:11" x14ac:dyDescent="0.45">
      <c r="K894">
        <v>1622.6440347077644</v>
      </c>
    </row>
    <row r="895" spans="11:11" x14ac:dyDescent="0.45">
      <c r="K895">
        <v>1657.4505959545847</v>
      </c>
    </row>
    <row r="896" spans="11:11" x14ac:dyDescent="0.45">
      <c r="K896">
        <v>1923.3659415505824</v>
      </c>
    </row>
    <row r="897" spans="11:11" x14ac:dyDescent="0.45">
      <c r="K897">
        <v>1574.7487678797156</v>
      </c>
    </row>
    <row r="898" spans="11:11" x14ac:dyDescent="0.45">
      <c r="K898">
        <v>1796.8941349747715</v>
      </c>
    </row>
    <row r="899" spans="11:11" x14ac:dyDescent="0.45">
      <c r="K899">
        <v>998.2779675228727</v>
      </c>
    </row>
    <row r="900" spans="11:11" x14ac:dyDescent="0.45">
      <c r="K900">
        <v>1989.3872852189916</v>
      </c>
    </row>
    <row r="901" spans="11:11" x14ac:dyDescent="0.45">
      <c r="K901">
        <v>2297.9795883579272</v>
      </c>
    </row>
    <row r="902" spans="11:11" x14ac:dyDescent="0.45">
      <c r="K902">
        <v>1940.0661200522154</v>
      </c>
    </row>
    <row r="903" spans="11:11" x14ac:dyDescent="0.45">
      <c r="K903">
        <v>2207.3976844811677</v>
      </c>
    </row>
    <row r="904" spans="11:11" x14ac:dyDescent="0.45">
      <c r="K904">
        <v>1907.4196033175651</v>
      </c>
    </row>
    <row r="905" spans="11:11" x14ac:dyDescent="0.45">
      <c r="K905">
        <v>1154.1737408134495</v>
      </c>
    </row>
    <row r="906" spans="11:11" x14ac:dyDescent="0.45">
      <c r="K906">
        <v>1264.1611060112762</v>
      </c>
    </row>
    <row r="907" spans="11:11" x14ac:dyDescent="0.45">
      <c r="K907">
        <v>1140.9117843225783</v>
      </c>
    </row>
    <row r="908" spans="11:11" x14ac:dyDescent="0.45">
      <c r="K908">
        <v>1675.7081579480612</v>
      </c>
    </row>
    <row r="909" spans="11:11" x14ac:dyDescent="0.45">
      <c r="K909">
        <v>1075.877311330818</v>
      </c>
    </row>
    <row r="910" spans="11:11" x14ac:dyDescent="0.45">
      <c r="K910">
        <v>1743.2270671477788</v>
      </c>
    </row>
    <row r="911" spans="11:11" x14ac:dyDescent="0.45">
      <c r="K911">
        <v>1723.104922841897</v>
      </c>
    </row>
    <row r="912" spans="11:11" x14ac:dyDescent="0.45">
      <c r="K912">
        <v>1904.6835480061563</v>
      </c>
    </row>
    <row r="913" spans="11:11" x14ac:dyDescent="0.45">
      <c r="K913">
        <v>1112.2872633503403</v>
      </c>
    </row>
    <row r="914" spans="11:11" x14ac:dyDescent="0.45">
      <c r="K914">
        <v>1922.4321099114202</v>
      </c>
    </row>
    <row r="915" spans="11:11" x14ac:dyDescent="0.45">
      <c r="K915">
        <v>1722.5275579378595</v>
      </c>
    </row>
    <row r="916" spans="11:11" x14ac:dyDescent="0.45">
      <c r="K916">
        <v>2435.2151781146845</v>
      </c>
    </row>
    <row r="917" spans="11:11" x14ac:dyDescent="0.45">
      <c r="K917">
        <v>1597.304646798395</v>
      </c>
    </row>
    <row r="918" spans="11:11" x14ac:dyDescent="0.45">
      <c r="K918">
        <v>1323.4865765646825</v>
      </c>
    </row>
    <row r="919" spans="11:11" x14ac:dyDescent="0.45">
      <c r="K919">
        <v>984.1065890711036</v>
      </c>
    </row>
    <row r="920" spans="11:11" x14ac:dyDescent="0.45">
      <c r="K920">
        <v>1628.9646061811634</v>
      </c>
    </row>
    <row r="921" spans="11:11" x14ac:dyDescent="0.45">
      <c r="K921">
        <v>1709.1087737258281</v>
      </c>
    </row>
    <row r="922" spans="11:11" x14ac:dyDescent="0.45">
      <c r="K922">
        <v>1065.4032347056941</v>
      </c>
    </row>
    <row r="923" spans="11:11" x14ac:dyDescent="0.45">
      <c r="K923">
        <v>1394.0593204800657</v>
      </c>
    </row>
    <row r="924" spans="11:11" x14ac:dyDescent="0.45">
      <c r="K924">
        <v>1290.5835188170502</v>
      </c>
    </row>
    <row r="925" spans="11:11" x14ac:dyDescent="0.45">
      <c r="K925">
        <v>913.59891780138855</v>
      </c>
    </row>
    <row r="926" spans="11:11" x14ac:dyDescent="0.45">
      <c r="K926">
        <v>1806.5869968200304</v>
      </c>
    </row>
    <row r="927" spans="11:11" x14ac:dyDescent="0.45">
      <c r="K927">
        <v>997.40706921238211</v>
      </c>
    </row>
    <row r="928" spans="11:11" x14ac:dyDescent="0.45">
      <c r="K928">
        <v>1566.6475250339047</v>
      </c>
    </row>
    <row r="929" spans="11:11" x14ac:dyDescent="0.45">
      <c r="K929">
        <v>1760.3507173080018</v>
      </c>
    </row>
    <row r="930" spans="11:11" x14ac:dyDescent="0.45">
      <c r="K930">
        <v>1776.6364433410636</v>
      </c>
    </row>
    <row r="931" spans="11:11" x14ac:dyDescent="0.45">
      <c r="K931">
        <v>1398.6606968335655</v>
      </c>
    </row>
    <row r="932" spans="11:11" x14ac:dyDescent="0.45">
      <c r="K932">
        <v>2335.5591317747367</v>
      </c>
    </row>
    <row r="933" spans="11:11" x14ac:dyDescent="0.45">
      <c r="K933">
        <v>2454.8054890828635</v>
      </c>
    </row>
    <row r="934" spans="11:11" x14ac:dyDescent="0.45">
      <c r="K934">
        <v>1933.4728689957399</v>
      </c>
    </row>
    <row r="935" spans="11:11" x14ac:dyDescent="0.45">
      <c r="K935">
        <v>1310.0199373787495</v>
      </c>
    </row>
    <row r="936" spans="11:11" x14ac:dyDescent="0.45">
      <c r="K936">
        <v>1682.9492930887334</v>
      </c>
    </row>
    <row r="937" spans="11:11" x14ac:dyDescent="0.45">
      <c r="K937">
        <v>867.2975277626764</v>
      </c>
    </row>
    <row r="938" spans="11:11" x14ac:dyDescent="0.45">
      <c r="K938">
        <v>1117.5354326370853</v>
      </c>
    </row>
    <row r="939" spans="11:11" x14ac:dyDescent="0.45">
      <c r="K939">
        <v>1081.2076633468391</v>
      </c>
    </row>
    <row r="940" spans="11:11" x14ac:dyDescent="0.45">
      <c r="K940">
        <v>1214.5141097821408</v>
      </c>
    </row>
    <row r="941" spans="11:11" x14ac:dyDescent="0.45">
      <c r="K941">
        <v>2408.2596917895212</v>
      </c>
    </row>
    <row r="942" spans="11:11" x14ac:dyDescent="0.45">
      <c r="K942">
        <v>1150.5445016178958</v>
      </c>
    </row>
    <row r="943" spans="11:11" x14ac:dyDescent="0.45">
      <c r="K943">
        <v>1980.4749119392054</v>
      </c>
    </row>
    <row r="944" spans="11:11" x14ac:dyDescent="0.45">
      <c r="K944">
        <v>1275.9437739759758</v>
      </c>
    </row>
    <row r="945" spans="11:11" x14ac:dyDescent="0.45">
      <c r="K945">
        <v>1346.3926459323689</v>
      </c>
    </row>
    <row r="946" spans="11:11" x14ac:dyDescent="0.45">
      <c r="K946">
        <v>1738.4306927936077</v>
      </c>
    </row>
    <row r="947" spans="11:11" x14ac:dyDescent="0.45">
      <c r="K947">
        <v>1736.2024708666108</v>
      </c>
    </row>
    <row r="948" spans="11:11" x14ac:dyDescent="0.45">
      <c r="K948">
        <v>2173.3972307675172</v>
      </c>
    </row>
    <row r="949" spans="11:11" x14ac:dyDescent="0.45">
      <c r="K949">
        <v>1214.3078076909994</v>
      </c>
    </row>
    <row r="950" spans="11:11" x14ac:dyDescent="0.45">
      <c r="K950">
        <v>1205.2472343170491</v>
      </c>
    </row>
    <row r="951" spans="11:11" x14ac:dyDescent="0.45">
      <c r="K951">
        <v>1834.5300896186141</v>
      </c>
    </row>
    <row r="952" spans="11:11" x14ac:dyDescent="0.45">
      <c r="K952">
        <v>1307.121028068967</v>
      </c>
    </row>
    <row r="953" spans="11:11" x14ac:dyDescent="0.45">
      <c r="K953">
        <v>2276.9174914359578</v>
      </c>
    </row>
    <row r="954" spans="11:11" x14ac:dyDescent="0.45">
      <c r="K954">
        <v>751.65520307982524</v>
      </c>
    </row>
    <row r="955" spans="11:11" x14ac:dyDescent="0.45">
      <c r="K955">
        <v>2013.561444894131</v>
      </c>
    </row>
    <row r="956" spans="11:11" x14ac:dyDescent="0.45">
      <c r="K956">
        <v>1814.8837053661148</v>
      </c>
    </row>
    <row r="957" spans="11:11" x14ac:dyDescent="0.45">
      <c r="K957">
        <v>1186.4465916663466</v>
      </c>
    </row>
    <row r="958" spans="11:11" x14ac:dyDescent="0.45">
      <c r="K958">
        <v>903.7242606457603</v>
      </c>
    </row>
    <row r="959" spans="11:11" x14ac:dyDescent="0.45">
      <c r="K959">
        <v>1202.6106819180661</v>
      </c>
    </row>
    <row r="960" spans="11:11" x14ac:dyDescent="0.45">
      <c r="K960">
        <v>1361.006868863082</v>
      </c>
    </row>
    <row r="961" spans="11:11" x14ac:dyDescent="0.45">
      <c r="K961">
        <v>2038.4634179538796</v>
      </c>
    </row>
    <row r="962" spans="11:11" x14ac:dyDescent="0.45">
      <c r="K962">
        <v>710.92198050916102</v>
      </c>
    </row>
    <row r="963" spans="11:11" x14ac:dyDescent="0.45">
      <c r="K963">
        <v>2212.2399754396224</v>
      </c>
    </row>
    <row r="964" spans="11:11" x14ac:dyDescent="0.45">
      <c r="K964">
        <v>1231.4753787654572</v>
      </c>
    </row>
    <row r="965" spans="11:11" x14ac:dyDescent="0.45">
      <c r="K965">
        <v>700.71772306889159</v>
      </c>
    </row>
    <row r="966" spans="11:11" x14ac:dyDescent="0.45">
      <c r="K966">
        <v>1142.5464313976245</v>
      </c>
    </row>
    <row r="967" spans="11:11" x14ac:dyDescent="0.45">
      <c r="K967">
        <v>1613.1802856637059</v>
      </c>
    </row>
    <row r="968" spans="11:11" x14ac:dyDescent="0.45">
      <c r="K968">
        <v>715.72776058873558</v>
      </c>
    </row>
    <row r="969" spans="11:11" x14ac:dyDescent="0.45">
      <c r="K969">
        <v>1817.9366364484956</v>
      </c>
    </row>
    <row r="970" spans="11:11" x14ac:dyDescent="0.45">
      <c r="K970">
        <v>1270.3789970099215</v>
      </c>
    </row>
    <row r="971" spans="11:11" x14ac:dyDescent="0.45">
      <c r="K971">
        <v>2735.1496546734238</v>
      </c>
    </row>
    <row r="972" spans="11:11" x14ac:dyDescent="0.45">
      <c r="K972">
        <v>1975.9781721261511</v>
      </c>
    </row>
    <row r="973" spans="11:11" x14ac:dyDescent="0.45">
      <c r="K973">
        <v>1322.4685213237574</v>
      </c>
    </row>
    <row r="974" spans="11:11" x14ac:dyDescent="0.45">
      <c r="K974">
        <v>2209.97182411832</v>
      </c>
    </row>
    <row r="975" spans="11:11" x14ac:dyDescent="0.45">
      <c r="K975">
        <v>1314.3125657274645</v>
      </c>
    </row>
    <row r="976" spans="11:11" x14ac:dyDescent="0.45">
      <c r="K976">
        <v>660.86409178746237</v>
      </c>
    </row>
    <row r="977" spans="11:11" x14ac:dyDescent="0.45">
      <c r="K977">
        <v>1327.5016327914184</v>
      </c>
    </row>
    <row r="978" spans="11:11" x14ac:dyDescent="0.45">
      <c r="K978">
        <v>2335.391992262726</v>
      </c>
    </row>
    <row r="979" spans="11:11" x14ac:dyDescent="0.45">
      <c r="K979">
        <v>1498.3930084928054</v>
      </c>
    </row>
    <row r="980" spans="11:11" x14ac:dyDescent="0.45">
      <c r="K980">
        <v>573.36892265937263</v>
      </c>
    </row>
    <row r="981" spans="11:11" x14ac:dyDescent="0.45">
      <c r="K981">
        <v>886.71067034439432</v>
      </c>
    </row>
    <row r="982" spans="11:11" x14ac:dyDescent="0.45">
      <c r="K982">
        <v>1818.541219654624</v>
      </c>
    </row>
    <row r="983" spans="11:11" x14ac:dyDescent="0.45">
      <c r="K983">
        <v>1918.3361985711722</v>
      </c>
    </row>
    <row r="984" spans="11:11" x14ac:dyDescent="0.45">
      <c r="K984">
        <v>919.64822086285119</v>
      </c>
    </row>
    <row r="985" spans="11:11" x14ac:dyDescent="0.45">
      <c r="K985">
        <v>1452.9801802818527</v>
      </c>
    </row>
    <row r="986" spans="11:11" x14ac:dyDescent="0.45">
      <c r="K986">
        <v>1670.5855068406058</v>
      </c>
    </row>
    <row r="987" spans="11:11" x14ac:dyDescent="0.45">
      <c r="K987">
        <v>1736.609334027497</v>
      </c>
    </row>
    <row r="988" spans="11:11" x14ac:dyDescent="0.45">
      <c r="K988">
        <v>1451.7089805559663</v>
      </c>
    </row>
    <row r="989" spans="11:11" x14ac:dyDescent="0.45">
      <c r="K989">
        <v>1657.4681897245237</v>
      </c>
    </row>
    <row r="990" spans="11:11" x14ac:dyDescent="0.45">
      <c r="K990">
        <v>1245.6113661070108</v>
      </c>
    </row>
    <row r="991" spans="11:11" x14ac:dyDescent="0.45">
      <c r="K991">
        <v>877.31065537324935</v>
      </c>
    </row>
    <row r="992" spans="11:11" x14ac:dyDescent="0.45">
      <c r="K992">
        <v>1133.2142085874329</v>
      </c>
    </row>
    <row r="993" spans="11:11" x14ac:dyDescent="0.45">
      <c r="K993">
        <v>1160.4418161149324</v>
      </c>
    </row>
    <row r="994" spans="11:11" x14ac:dyDescent="0.45">
      <c r="K994">
        <v>598.06954513167602</v>
      </c>
    </row>
    <row r="995" spans="11:11" x14ac:dyDescent="0.45">
      <c r="K995">
        <v>1421.1740747148979</v>
      </c>
    </row>
    <row r="996" spans="11:11" x14ac:dyDescent="0.45">
      <c r="K996">
        <v>2239.0572099194897</v>
      </c>
    </row>
    <row r="997" spans="11:11" x14ac:dyDescent="0.45">
      <c r="K997">
        <v>1528.1492605586086</v>
      </c>
    </row>
    <row r="998" spans="11:11" x14ac:dyDescent="0.45">
      <c r="K998">
        <v>406.37614578585703</v>
      </c>
    </row>
    <row r="999" spans="11:11" x14ac:dyDescent="0.45">
      <c r="K999">
        <v>1534.3115970296719</v>
      </c>
    </row>
    <row r="1000" spans="11:11" x14ac:dyDescent="0.45">
      <c r="K1000">
        <v>812.6780339006425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A3034-9561-446A-9CAF-EE28650780D9}">
  <sheetPr codeName="Sheet11"/>
  <dimension ref="A1:Q1000"/>
  <sheetViews>
    <sheetView workbookViewId="0"/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7" x14ac:dyDescent="0.45">
      <c r="K1">
        <v>1661.2683999990181</v>
      </c>
      <c r="M1" s="1">
        <f>AVERAGE(K1:K10000)</f>
        <v>1064.1727246979833</v>
      </c>
    </row>
    <row r="2" spans="1:17" x14ac:dyDescent="0.45">
      <c r="C2" t="s">
        <v>0</v>
      </c>
      <c r="D2" t="s">
        <v>1</v>
      </c>
      <c r="K2">
        <v>1100.7290293933654</v>
      </c>
      <c r="M2" s="1">
        <f>_xlfn.STDEV.S(K1:K10000)</f>
        <v>192.93876248659967</v>
      </c>
    </row>
    <row r="3" spans="1:17" x14ac:dyDescent="0.45">
      <c r="B3" t="s">
        <v>8</v>
      </c>
      <c r="C3" s="1">
        <v>1057</v>
      </c>
      <c r="D3" s="1">
        <v>201</v>
      </c>
      <c r="H3">
        <v>16366.539110781334</v>
      </c>
      <c r="K3">
        <v>1256.2511113439332</v>
      </c>
      <c r="O3" s="3"/>
      <c r="P3" s="4"/>
      <c r="Q3" s="5"/>
    </row>
    <row r="4" spans="1:17" x14ac:dyDescent="0.45">
      <c r="H4">
        <v>3721.7354821098083</v>
      </c>
      <c r="K4">
        <v>1013.130688149449</v>
      </c>
      <c r="O4" s="6"/>
      <c r="P4" s="7"/>
      <c r="Q4" s="8"/>
    </row>
    <row r="5" spans="1:17" x14ac:dyDescent="0.45">
      <c r="B5" t="s">
        <v>2</v>
      </c>
      <c r="C5" s="1">
        <f ca="1">_xlfn.NORM.INV(RAND(),$C$3,$D$3)</f>
        <v>810.35030468655964</v>
      </c>
      <c r="K5">
        <v>942.23087757791211</v>
      </c>
      <c r="O5" s="6"/>
      <c r="P5" s="7"/>
      <c r="Q5" s="8"/>
    </row>
    <row r="6" spans="1:17" x14ac:dyDescent="0.45">
      <c r="K6">
        <v>904.05191284730677</v>
      </c>
      <c r="O6" s="6"/>
      <c r="P6" s="7"/>
      <c r="Q6" s="8"/>
    </row>
    <row r="7" spans="1:17" x14ac:dyDescent="0.45">
      <c r="E7" s="1">
        <f ca="1">_xlfn.NORM.INV(RAND(),$C$3,$D$3)</f>
        <v>686.39402665356783</v>
      </c>
      <c r="F7" s="1">
        <f t="shared" ref="F7:I7" ca="1" si="0">_xlfn.NORM.INV(RAND(),$C$3,$D$3)</f>
        <v>867.69930748171521</v>
      </c>
      <c r="G7" s="1">
        <f t="shared" ca="1" si="0"/>
        <v>989.50990898057535</v>
      </c>
      <c r="H7" s="1">
        <f t="shared" ca="1" si="0"/>
        <v>953.32053838383968</v>
      </c>
      <c r="I7" s="1">
        <f t="shared" ca="1" si="0"/>
        <v>1047.917099769104</v>
      </c>
      <c r="K7">
        <v>987.49700603702445</v>
      </c>
      <c r="O7" s="6"/>
      <c r="P7" s="7"/>
      <c r="Q7" s="8"/>
    </row>
    <row r="8" spans="1:17" x14ac:dyDescent="0.45">
      <c r="B8" t="s">
        <v>3</v>
      </c>
      <c r="C8">
        <v>1000</v>
      </c>
      <c r="K8">
        <v>923.00104876933085</v>
      </c>
      <c r="O8" s="6"/>
      <c r="P8" s="7"/>
      <c r="Q8" s="8"/>
    </row>
    <row r="9" spans="1:17" x14ac:dyDescent="0.45">
      <c r="B9" t="s">
        <v>4</v>
      </c>
      <c r="C9">
        <v>1000</v>
      </c>
      <c r="K9">
        <v>872.38191473266215</v>
      </c>
      <c r="O9" s="6"/>
      <c r="P9" s="7"/>
      <c r="Q9" s="8"/>
    </row>
    <row r="10" spans="1:17" x14ac:dyDescent="0.45">
      <c r="B10" t="s">
        <v>6</v>
      </c>
      <c r="C10" s="1">
        <f>MAX(K:K)</f>
        <v>1661.2683999990181</v>
      </c>
      <c r="K10">
        <v>836.846043878621</v>
      </c>
      <c r="O10" s="6"/>
      <c r="P10" s="7"/>
      <c r="Q10" s="8"/>
    </row>
    <row r="11" spans="1:17" x14ac:dyDescent="0.45">
      <c r="B11" t="s">
        <v>5</v>
      </c>
      <c r="C11" s="1">
        <f>MIN(K:K)</f>
        <v>528.82225409719774</v>
      </c>
      <c r="E11" s="1">
        <f>ROUNDDOWN((C10-C11)/100,0)</f>
        <v>11</v>
      </c>
      <c r="K11">
        <v>1060.8930963227247</v>
      </c>
      <c r="O11" s="6"/>
      <c r="P11" s="7"/>
      <c r="Q11" s="8"/>
    </row>
    <row r="12" spans="1:17" x14ac:dyDescent="0.45">
      <c r="K12">
        <v>1045.3052431371004</v>
      </c>
      <c r="O12" s="6"/>
      <c r="P12" s="7"/>
      <c r="Q12" s="8"/>
    </row>
    <row r="13" spans="1:17" x14ac:dyDescent="0.45">
      <c r="A13" s="1">
        <f>ROUNDDOWN(C11,0)</f>
        <v>528</v>
      </c>
      <c r="B13">
        <f>COUNTIFS($K$1:$K$1000,"&gt;="&amp; A13,$K$1:$K$1000,"&lt;="&amp; A14)</f>
        <v>1</v>
      </c>
      <c r="C13" s="2"/>
      <c r="K13">
        <v>1248.5092192019447</v>
      </c>
      <c r="O13" s="6"/>
      <c r="P13" s="7"/>
      <c r="Q13" s="8"/>
    </row>
    <row r="14" spans="1:17" x14ac:dyDescent="0.45">
      <c r="A14" s="1">
        <f>IF(A13+($C$10-$C$11)/50&lt;=$C$10,A13+($C$10-$C$11)/50,MAX(A13+($C$10-$C$11)/50,$C$10))</f>
        <v>550.64892291803642</v>
      </c>
      <c r="B14">
        <f t="shared" ref="B14:B61" si="1">COUNTIFS($K$1:$K$1000,"&gt;="&amp; A14,$K$1:$K$1000,"&lt;="&amp; A15)</f>
        <v>3</v>
      </c>
      <c r="C14" s="2"/>
      <c r="K14">
        <v>1115.0781234095882</v>
      </c>
      <c r="O14" s="6"/>
      <c r="P14" s="7"/>
      <c r="Q14" s="8"/>
    </row>
    <row r="15" spans="1:17" x14ac:dyDescent="0.45">
      <c r="A15" s="1">
        <f t="shared" ref="A15:A62" si="2">IF(A14+($C$10-$C$11)/50&lt;=$C$10,A14+($C$10-$C$11)/50,MAX(A14+($C$10-$C$11)/50,$C$10))</f>
        <v>573.29784583607284</v>
      </c>
      <c r="B15">
        <f t="shared" si="1"/>
        <v>1</v>
      </c>
      <c r="C15" s="2"/>
      <c r="K15">
        <v>1366.1665109117275</v>
      </c>
      <c r="O15" s="6"/>
      <c r="P15" s="7"/>
      <c r="Q15" s="8"/>
    </row>
    <row r="16" spans="1:17" x14ac:dyDescent="0.45">
      <c r="A16" s="1">
        <f t="shared" si="2"/>
        <v>595.94676875410926</v>
      </c>
      <c r="B16">
        <f t="shared" si="1"/>
        <v>2</v>
      </c>
      <c r="C16" s="2"/>
      <c r="K16">
        <v>1336.7384600059984</v>
      </c>
      <c r="O16" s="6"/>
      <c r="P16" s="7"/>
      <c r="Q16" s="8"/>
    </row>
    <row r="17" spans="1:17" x14ac:dyDescent="0.45">
      <c r="A17" s="1">
        <f t="shared" si="2"/>
        <v>618.59569167214568</v>
      </c>
      <c r="B17">
        <f t="shared" si="1"/>
        <v>2</v>
      </c>
      <c r="C17" s="2"/>
      <c r="K17">
        <v>780.63470442442986</v>
      </c>
      <c r="O17" s="6"/>
      <c r="P17" s="7"/>
      <c r="Q17" s="8"/>
    </row>
    <row r="18" spans="1:17" x14ac:dyDescent="0.45">
      <c r="A18" s="1">
        <f t="shared" si="2"/>
        <v>641.2446145901821</v>
      </c>
      <c r="B18">
        <f t="shared" si="1"/>
        <v>8</v>
      </c>
      <c r="C18" s="2"/>
      <c r="K18">
        <v>838.9423552157341</v>
      </c>
      <c r="O18" s="6"/>
      <c r="P18" s="7"/>
      <c r="Q18" s="8"/>
    </row>
    <row r="19" spans="1:17" x14ac:dyDescent="0.45">
      <c r="A19" s="1">
        <f t="shared" si="2"/>
        <v>663.89353750821851</v>
      </c>
      <c r="B19">
        <f t="shared" si="1"/>
        <v>2</v>
      </c>
      <c r="C19" s="2"/>
      <c r="K19">
        <v>1070.6062098865239</v>
      </c>
      <c r="O19" s="6"/>
      <c r="P19" s="7"/>
      <c r="Q19" s="8"/>
    </row>
    <row r="20" spans="1:17" x14ac:dyDescent="0.45">
      <c r="A20" s="1">
        <f t="shared" si="2"/>
        <v>686.54246042625493</v>
      </c>
      <c r="B20">
        <f t="shared" si="1"/>
        <v>9</v>
      </c>
      <c r="C20" s="2"/>
      <c r="K20">
        <v>1152.5777876994682</v>
      </c>
      <c r="O20" s="9"/>
      <c r="P20" s="10"/>
      <c r="Q20" s="11"/>
    </row>
    <row r="21" spans="1:17" x14ac:dyDescent="0.45">
      <c r="A21" s="1">
        <f t="shared" si="2"/>
        <v>709.19138334429135</v>
      </c>
      <c r="B21">
        <f t="shared" si="1"/>
        <v>12</v>
      </c>
      <c r="C21" s="2"/>
      <c r="K21">
        <v>988.12026392727671</v>
      </c>
    </row>
    <row r="22" spans="1:17" x14ac:dyDescent="0.45">
      <c r="A22" s="1">
        <f t="shared" si="2"/>
        <v>731.84030626232777</v>
      </c>
      <c r="B22">
        <f t="shared" si="1"/>
        <v>8</v>
      </c>
      <c r="C22" s="2"/>
      <c r="K22">
        <v>1191.1804627791059</v>
      </c>
    </row>
    <row r="23" spans="1:17" x14ac:dyDescent="0.45">
      <c r="A23" s="1">
        <f t="shared" si="2"/>
        <v>754.48922918036419</v>
      </c>
      <c r="B23">
        <f t="shared" si="1"/>
        <v>23</v>
      </c>
      <c r="C23" s="2"/>
      <c r="K23">
        <v>1056.3603012622314</v>
      </c>
    </row>
    <row r="24" spans="1:17" x14ac:dyDescent="0.45">
      <c r="A24" s="1">
        <f t="shared" si="2"/>
        <v>777.13815209840061</v>
      </c>
      <c r="B24">
        <f t="shared" si="1"/>
        <v>18</v>
      </c>
      <c r="C24" s="2"/>
      <c r="K24">
        <v>1134.3157294281878</v>
      </c>
    </row>
    <row r="25" spans="1:17" x14ac:dyDescent="0.45">
      <c r="A25" s="1">
        <f t="shared" si="2"/>
        <v>799.78707501643703</v>
      </c>
      <c r="B25">
        <f t="shared" si="1"/>
        <v>21</v>
      </c>
      <c r="C25" s="2"/>
      <c r="K25">
        <v>920.87236849074679</v>
      </c>
    </row>
    <row r="26" spans="1:17" x14ac:dyDescent="0.45">
      <c r="A26" s="1">
        <f t="shared" si="2"/>
        <v>822.43599793447345</v>
      </c>
      <c r="B26">
        <f t="shared" si="1"/>
        <v>30</v>
      </c>
      <c r="C26" s="2"/>
      <c r="K26">
        <v>867.51523137356753</v>
      </c>
    </row>
    <row r="27" spans="1:17" x14ac:dyDescent="0.45">
      <c r="A27" s="1">
        <f t="shared" si="2"/>
        <v>845.08492085250987</v>
      </c>
      <c r="B27">
        <f t="shared" si="1"/>
        <v>26</v>
      </c>
      <c r="C27" s="2"/>
      <c r="K27">
        <v>1037.7501249678514</v>
      </c>
    </row>
    <row r="28" spans="1:17" x14ac:dyDescent="0.45">
      <c r="A28" s="1">
        <f t="shared" si="2"/>
        <v>867.73384377054629</v>
      </c>
      <c r="B28">
        <f t="shared" si="1"/>
        <v>27</v>
      </c>
      <c r="C28" s="2"/>
      <c r="K28">
        <v>1194.865468437144</v>
      </c>
    </row>
    <row r="29" spans="1:17" x14ac:dyDescent="0.45">
      <c r="A29" s="1">
        <f t="shared" si="2"/>
        <v>890.38276668858271</v>
      </c>
      <c r="B29">
        <f t="shared" si="1"/>
        <v>30</v>
      </c>
      <c r="C29" s="2"/>
      <c r="K29">
        <v>1012.088025300823</v>
      </c>
    </row>
    <row r="30" spans="1:17" x14ac:dyDescent="0.45">
      <c r="A30" s="1">
        <f t="shared" si="2"/>
        <v>913.03168960661912</v>
      </c>
      <c r="B30">
        <f t="shared" si="1"/>
        <v>44</v>
      </c>
      <c r="C30" s="2"/>
      <c r="K30">
        <v>1022.1363834748616</v>
      </c>
    </row>
    <row r="31" spans="1:17" x14ac:dyDescent="0.45">
      <c r="A31" s="1">
        <f t="shared" si="2"/>
        <v>935.68061252465554</v>
      </c>
      <c r="B31">
        <f t="shared" si="1"/>
        <v>32</v>
      </c>
      <c r="C31" s="2"/>
      <c r="K31">
        <v>796.97423239020384</v>
      </c>
    </row>
    <row r="32" spans="1:17" x14ac:dyDescent="0.45">
      <c r="A32" s="1">
        <f t="shared" si="2"/>
        <v>958.32953544269196</v>
      </c>
      <c r="B32">
        <f t="shared" si="1"/>
        <v>36</v>
      </c>
      <c r="C32" s="2"/>
      <c r="K32">
        <v>1041.6773734672113</v>
      </c>
    </row>
    <row r="33" spans="1:11" x14ac:dyDescent="0.45">
      <c r="A33" s="1">
        <f t="shared" si="2"/>
        <v>980.97845836072838</v>
      </c>
      <c r="B33">
        <f t="shared" si="1"/>
        <v>45</v>
      </c>
      <c r="C33" s="2"/>
      <c r="K33">
        <v>1321.0423067470656</v>
      </c>
    </row>
    <row r="34" spans="1:11" x14ac:dyDescent="0.45">
      <c r="A34" s="1">
        <f t="shared" si="2"/>
        <v>1003.6273812787648</v>
      </c>
      <c r="B34">
        <f t="shared" si="1"/>
        <v>36</v>
      </c>
      <c r="C34" s="2"/>
      <c r="K34">
        <v>912.8783064932843</v>
      </c>
    </row>
    <row r="35" spans="1:11" x14ac:dyDescent="0.45">
      <c r="A35" s="1">
        <f t="shared" si="2"/>
        <v>1026.2763041968012</v>
      </c>
      <c r="B35">
        <f t="shared" si="1"/>
        <v>51</v>
      </c>
      <c r="C35" s="2"/>
      <c r="K35">
        <v>776.223199189816</v>
      </c>
    </row>
    <row r="36" spans="1:11" x14ac:dyDescent="0.45">
      <c r="A36" s="1">
        <f t="shared" si="2"/>
        <v>1048.9252271148375</v>
      </c>
      <c r="B36">
        <f t="shared" si="1"/>
        <v>44</v>
      </c>
      <c r="C36" s="2"/>
      <c r="K36">
        <v>1314.1018860975385</v>
      </c>
    </row>
    <row r="37" spans="1:11" x14ac:dyDescent="0.45">
      <c r="A37" s="1">
        <f t="shared" si="2"/>
        <v>1071.5741500328738</v>
      </c>
      <c r="B37">
        <f t="shared" si="1"/>
        <v>47</v>
      </c>
      <c r="C37" s="2"/>
      <c r="K37">
        <v>1502.2084482374064</v>
      </c>
    </row>
    <row r="38" spans="1:11" x14ac:dyDescent="0.45">
      <c r="A38" s="1">
        <f t="shared" si="2"/>
        <v>1094.2230729509101</v>
      </c>
      <c r="B38">
        <f t="shared" si="1"/>
        <v>50</v>
      </c>
      <c r="C38" s="2"/>
      <c r="K38">
        <v>1275.1331645268829</v>
      </c>
    </row>
    <row r="39" spans="1:11" x14ac:dyDescent="0.45">
      <c r="A39" s="1">
        <f t="shared" si="2"/>
        <v>1116.8719958689464</v>
      </c>
      <c r="B39">
        <f t="shared" si="1"/>
        <v>42</v>
      </c>
      <c r="C39" s="2"/>
      <c r="K39">
        <v>1222.5543709061401</v>
      </c>
    </row>
    <row r="40" spans="1:11" x14ac:dyDescent="0.45">
      <c r="A40" s="1">
        <f t="shared" si="2"/>
        <v>1139.5209187869827</v>
      </c>
      <c r="B40">
        <f t="shared" si="1"/>
        <v>40</v>
      </c>
      <c r="C40" s="2"/>
      <c r="K40">
        <v>1141.6357743388492</v>
      </c>
    </row>
    <row r="41" spans="1:11" x14ac:dyDescent="0.45">
      <c r="A41" s="1">
        <f t="shared" si="2"/>
        <v>1162.1698417050191</v>
      </c>
      <c r="B41">
        <f t="shared" si="1"/>
        <v>43</v>
      </c>
      <c r="C41" s="2"/>
      <c r="K41">
        <v>838.61350349674603</v>
      </c>
    </row>
    <row r="42" spans="1:11" x14ac:dyDescent="0.45">
      <c r="A42" s="1">
        <f t="shared" si="2"/>
        <v>1184.8187646230554</v>
      </c>
      <c r="B42">
        <f t="shared" si="1"/>
        <v>33</v>
      </c>
      <c r="C42" s="2"/>
      <c r="K42">
        <v>1245.539635745045</v>
      </c>
    </row>
    <row r="43" spans="1:11" x14ac:dyDescent="0.45">
      <c r="A43" s="1">
        <f t="shared" si="2"/>
        <v>1207.4676875410917</v>
      </c>
      <c r="B43">
        <f t="shared" si="1"/>
        <v>43</v>
      </c>
      <c r="C43" s="2"/>
      <c r="K43">
        <v>1005.9697725931784</v>
      </c>
    </row>
    <row r="44" spans="1:11" x14ac:dyDescent="0.45">
      <c r="A44" s="1">
        <f t="shared" si="2"/>
        <v>1230.116610459128</v>
      </c>
      <c r="B44">
        <f t="shared" si="1"/>
        <v>30</v>
      </c>
      <c r="C44" s="2"/>
      <c r="K44">
        <v>1167.7086568332336</v>
      </c>
    </row>
    <row r="45" spans="1:11" x14ac:dyDescent="0.45">
      <c r="A45" s="1">
        <f t="shared" si="2"/>
        <v>1252.7655333771643</v>
      </c>
      <c r="B45">
        <f t="shared" si="1"/>
        <v>22</v>
      </c>
      <c r="C45" s="2"/>
      <c r="K45">
        <v>1187.4359127432476</v>
      </c>
    </row>
    <row r="46" spans="1:11" x14ac:dyDescent="0.45">
      <c r="A46" s="1">
        <f t="shared" si="2"/>
        <v>1275.4144562952006</v>
      </c>
      <c r="B46">
        <f t="shared" si="1"/>
        <v>26</v>
      </c>
      <c r="C46" s="2"/>
      <c r="K46">
        <v>1330.1245804174964</v>
      </c>
    </row>
    <row r="47" spans="1:11" x14ac:dyDescent="0.45">
      <c r="A47" s="1">
        <f t="shared" si="2"/>
        <v>1298.0633792132369</v>
      </c>
      <c r="B47">
        <f t="shared" si="1"/>
        <v>23</v>
      </c>
      <c r="C47" s="2"/>
      <c r="K47">
        <v>1258.0339090978282</v>
      </c>
    </row>
    <row r="48" spans="1:11" x14ac:dyDescent="0.45">
      <c r="A48" s="1">
        <f t="shared" si="2"/>
        <v>1320.7123021312732</v>
      </c>
      <c r="B48">
        <f t="shared" si="1"/>
        <v>23</v>
      </c>
      <c r="C48" s="2"/>
      <c r="K48">
        <v>1200.884696497865</v>
      </c>
    </row>
    <row r="49" spans="1:11" x14ac:dyDescent="0.45">
      <c r="A49" s="1">
        <f t="shared" si="2"/>
        <v>1343.3612250493095</v>
      </c>
      <c r="B49">
        <f t="shared" si="1"/>
        <v>10</v>
      </c>
      <c r="C49" s="2"/>
      <c r="K49">
        <v>973.1110734005257</v>
      </c>
    </row>
    <row r="50" spans="1:11" x14ac:dyDescent="0.45">
      <c r="A50" s="1">
        <f t="shared" si="2"/>
        <v>1366.0101479673458</v>
      </c>
      <c r="B50">
        <f t="shared" si="1"/>
        <v>13</v>
      </c>
      <c r="C50" s="2"/>
      <c r="K50">
        <v>853.43218553909605</v>
      </c>
    </row>
    <row r="51" spans="1:11" x14ac:dyDescent="0.45">
      <c r="A51" s="1">
        <f t="shared" si="2"/>
        <v>1388.6590708853821</v>
      </c>
      <c r="B51">
        <f t="shared" si="1"/>
        <v>7</v>
      </c>
      <c r="C51" s="2"/>
      <c r="K51">
        <v>929.36629789135941</v>
      </c>
    </row>
    <row r="52" spans="1:11" x14ac:dyDescent="0.45">
      <c r="A52" s="1">
        <f t="shared" si="2"/>
        <v>1411.3079938034184</v>
      </c>
      <c r="B52">
        <f t="shared" si="1"/>
        <v>2</v>
      </c>
      <c r="C52" s="2"/>
      <c r="K52">
        <v>1036.8172490071686</v>
      </c>
    </row>
    <row r="53" spans="1:11" x14ac:dyDescent="0.45">
      <c r="A53" s="1">
        <f t="shared" si="2"/>
        <v>1433.9569167214547</v>
      </c>
      <c r="B53">
        <f t="shared" si="1"/>
        <v>7</v>
      </c>
      <c r="C53" s="2"/>
      <c r="K53">
        <v>1097.5616302729604</v>
      </c>
    </row>
    <row r="54" spans="1:11" x14ac:dyDescent="0.45">
      <c r="A54" s="1">
        <f t="shared" si="2"/>
        <v>1456.605839639491</v>
      </c>
      <c r="B54">
        <f t="shared" si="1"/>
        <v>6</v>
      </c>
      <c r="C54" s="2"/>
      <c r="K54">
        <v>968.43128754233317</v>
      </c>
    </row>
    <row r="55" spans="1:11" x14ac:dyDescent="0.45">
      <c r="A55" s="1">
        <f t="shared" si="2"/>
        <v>1479.2547625575273</v>
      </c>
      <c r="B55">
        <f t="shared" si="1"/>
        <v>8</v>
      </c>
      <c r="C55" s="2"/>
      <c r="K55">
        <v>835.1124283449866</v>
      </c>
    </row>
    <row r="56" spans="1:11" x14ac:dyDescent="0.45">
      <c r="A56" s="1">
        <f t="shared" si="2"/>
        <v>1501.9036854755636</v>
      </c>
      <c r="B56">
        <f t="shared" si="1"/>
        <v>5</v>
      </c>
      <c r="C56" s="2"/>
      <c r="K56">
        <v>1095.1383441095134</v>
      </c>
    </row>
    <row r="57" spans="1:11" x14ac:dyDescent="0.45">
      <c r="A57" s="1">
        <f t="shared" si="2"/>
        <v>1524.5526083935999</v>
      </c>
      <c r="B57">
        <f t="shared" si="1"/>
        <v>2</v>
      </c>
      <c r="C57" s="2"/>
      <c r="K57">
        <v>1019.7795221723428</v>
      </c>
    </row>
    <row r="58" spans="1:11" x14ac:dyDescent="0.45">
      <c r="A58" s="1">
        <f t="shared" si="2"/>
        <v>1547.2015313116362</v>
      </c>
      <c r="B58">
        <f t="shared" si="1"/>
        <v>4</v>
      </c>
      <c r="C58" s="2"/>
      <c r="K58">
        <v>1043.1631434658009</v>
      </c>
    </row>
    <row r="59" spans="1:11" x14ac:dyDescent="0.45">
      <c r="A59" s="1">
        <f t="shared" si="2"/>
        <v>1569.8504542296726</v>
      </c>
      <c r="B59">
        <f t="shared" si="1"/>
        <v>0</v>
      </c>
      <c r="C59" s="2"/>
      <c r="K59">
        <v>567.557006498193</v>
      </c>
    </row>
    <row r="60" spans="1:11" x14ac:dyDescent="0.45">
      <c r="A60" s="1">
        <f t="shared" si="2"/>
        <v>1592.4993771477089</v>
      </c>
      <c r="B60">
        <f t="shared" si="1"/>
        <v>2</v>
      </c>
      <c r="C60" s="2"/>
      <c r="K60">
        <v>995.2529343368933</v>
      </c>
    </row>
    <row r="61" spans="1:11" x14ac:dyDescent="0.45">
      <c r="A61" s="1">
        <f t="shared" si="2"/>
        <v>1615.1483000657452</v>
      </c>
      <c r="B61">
        <f t="shared" si="1"/>
        <v>0</v>
      </c>
      <c r="C61" s="2"/>
      <c r="K61">
        <v>994.93852367963723</v>
      </c>
    </row>
    <row r="62" spans="1:11" x14ac:dyDescent="0.45">
      <c r="A62" s="1">
        <f t="shared" si="2"/>
        <v>1637.7972229837815</v>
      </c>
      <c r="B62">
        <f>COUNTIFS($K$1:$K$1000,"&gt;="&amp; A62)</f>
        <v>1</v>
      </c>
      <c r="C62" s="2"/>
      <c r="K62">
        <v>661.86873214442494</v>
      </c>
    </row>
    <row r="63" spans="1:11" x14ac:dyDescent="0.45">
      <c r="C63" s="2"/>
      <c r="K63">
        <v>1074.6971843584731</v>
      </c>
    </row>
    <row r="64" spans="1:11" x14ac:dyDescent="0.45">
      <c r="C64" s="2"/>
      <c r="K64">
        <v>1286.1598870460705</v>
      </c>
    </row>
    <row r="65" spans="3:11" x14ac:dyDescent="0.45">
      <c r="C65" s="2"/>
      <c r="K65">
        <v>860.97765709364398</v>
      </c>
    </row>
    <row r="66" spans="3:11" x14ac:dyDescent="0.45">
      <c r="C66" s="2"/>
      <c r="K66">
        <v>1457.0325468433557</v>
      </c>
    </row>
    <row r="67" spans="3:11" x14ac:dyDescent="0.45">
      <c r="C67" s="2"/>
      <c r="K67">
        <v>937.23118207332504</v>
      </c>
    </row>
    <row r="68" spans="3:11" x14ac:dyDescent="0.45">
      <c r="C68" s="2"/>
      <c r="K68">
        <v>1325.2478075294428</v>
      </c>
    </row>
    <row r="69" spans="3:11" x14ac:dyDescent="0.45">
      <c r="C69" s="2"/>
      <c r="K69">
        <v>1316.133441988688</v>
      </c>
    </row>
    <row r="70" spans="3:11" x14ac:dyDescent="0.45">
      <c r="C70" s="2"/>
      <c r="K70">
        <v>915.05860167796186</v>
      </c>
    </row>
    <row r="71" spans="3:11" x14ac:dyDescent="0.45">
      <c r="C71" s="2"/>
      <c r="K71">
        <v>842.19227361893843</v>
      </c>
    </row>
    <row r="72" spans="3:11" x14ac:dyDescent="0.45">
      <c r="C72" s="2"/>
      <c r="K72">
        <v>800.85690556747613</v>
      </c>
    </row>
    <row r="73" spans="3:11" x14ac:dyDescent="0.45">
      <c r="C73" s="2"/>
      <c r="K73">
        <v>984.58611433341173</v>
      </c>
    </row>
    <row r="74" spans="3:11" x14ac:dyDescent="0.45">
      <c r="C74" s="2"/>
      <c r="K74">
        <v>1188.6533432120705</v>
      </c>
    </row>
    <row r="75" spans="3:11" x14ac:dyDescent="0.45">
      <c r="C75" s="2"/>
      <c r="K75">
        <v>1072.273098188168</v>
      </c>
    </row>
    <row r="76" spans="3:11" x14ac:dyDescent="0.45">
      <c r="C76" s="2"/>
      <c r="K76">
        <v>1016.2197194581265</v>
      </c>
    </row>
    <row r="77" spans="3:11" x14ac:dyDescent="0.45">
      <c r="C77" s="2"/>
      <c r="K77">
        <v>1109.4666936576812</v>
      </c>
    </row>
    <row r="78" spans="3:11" x14ac:dyDescent="0.45">
      <c r="C78" s="2"/>
      <c r="K78">
        <v>1042.3195578289526</v>
      </c>
    </row>
    <row r="79" spans="3:11" x14ac:dyDescent="0.45">
      <c r="C79" s="2"/>
      <c r="K79">
        <v>820.32537590053346</v>
      </c>
    </row>
    <row r="80" spans="3:11" x14ac:dyDescent="0.45">
      <c r="C80" s="2"/>
      <c r="K80">
        <v>1029.0562421592488</v>
      </c>
    </row>
    <row r="81" spans="3:11" x14ac:dyDescent="0.45">
      <c r="C81" s="2"/>
      <c r="K81">
        <v>1155.2073122066499</v>
      </c>
    </row>
    <row r="82" spans="3:11" x14ac:dyDescent="0.45">
      <c r="C82" s="2"/>
      <c r="K82">
        <v>1552.4645851877012</v>
      </c>
    </row>
    <row r="83" spans="3:11" x14ac:dyDescent="0.45">
      <c r="C83" s="2"/>
      <c r="K83">
        <v>1359.6419777496926</v>
      </c>
    </row>
    <row r="84" spans="3:11" x14ac:dyDescent="0.45">
      <c r="K84">
        <v>1160.2983762633944</v>
      </c>
    </row>
    <row r="85" spans="3:11" x14ac:dyDescent="0.45">
      <c r="K85">
        <v>1169.3948730623522</v>
      </c>
    </row>
    <row r="86" spans="3:11" x14ac:dyDescent="0.45">
      <c r="K86">
        <v>1235.3104047064985</v>
      </c>
    </row>
    <row r="87" spans="3:11" x14ac:dyDescent="0.45">
      <c r="K87">
        <v>914.08283371582411</v>
      </c>
    </row>
    <row r="88" spans="3:11" x14ac:dyDescent="0.45">
      <c r="K88">
        <v>900.67997148456072</v>
      </c>
    </row>
    <row r="89" spans="3:11" x14ac:dyDescent="0.45">
      <c r="K89">
        <v>969.37783898041857</v>
      </c>
    </row>
    <row r="90" spans="3:11" x14ac:dyDescent="0.45">
      <c r="K90">
        <v>1358.7496564456924</v>
      </c>
    </row>
    <row r="91" spans="3:11" x14ac:dyDescent="0.45">
      <c r="K91">
        <v>865.10190716288423</v>
      </c>
    </row>
    <row r="92" spans="3:11" x14ac:dyDescent="0.45">
      <c r="K92">
        <v>704.13304869726096</v>
      </c>
    </row>
    <row r="93" spans="3:11" x14ac:dyDescent="0.45">
      <c r="K93">
        <v>765.80987040136256</v>
      </c>
    </row>
    <row r="94" spans="3:11" x14ac:dyDescent="0.45">
      <c r="K94">
        <v>1109.8314809513224</v>
      </c>
    </row>
    <row r="95" spans="3:11" x14ac:dyDescent="0.45">
      <c r="K95">
        <v>1157.99571001507</v>
      </c>
    </row>
    <row r="96" spans="3:11" x14ac:dyDescent="0.45">
      <c r="K96">
        <v>1199.4899775863114</v>
      </c>
    </row>
    <row r="97" spans="11:11" x14ac:dyDescent="0.45">
      <c r="K97">
        <v>966.37483322569551</v>
      </c>
    </row>
    <row r="98" spans="11:11" x14ac:dyDescent="0.45">
      <c r="K98">
        <v>1138.7500999497579</v>
      </c>
    </row>
    <row r="99" spans="11:11" x14ac:dyDescent="0.45">
      <c r="K99">
        <v>898.90911889894255</v>
      </c>
    </row>
    <row r="100" spans="11:11" x14ac:dyDescent="0.45">
      <c r="K100">
        <v>1190.4744331978029</v>
      </c>
    </row>
    <row r="101" spans="11:11" x14ac:dyDescent="0.45">
      <c r="K101">
        <v>1222.9798613206783</v>
      </c>
    </row>
    <row r="102" spans="11:11" x14ac:dyDescent="0.45">
      <c r="K102">
        <v>839.41217465414206</v>
      </c>
    </row>
    <row r="103" spans="11:11" x14ac:dyDescent="0.45">
      <c r="K103">
        <v>1072.1721118490004</v>
      </c>
    </row>
    <row r="104" spans="11:11" x14ac:dyDescent="0.45">
      <c r="K104">
        <v>973.48872439730735</v>
      </c>
    </row>
    <row r="105" spans="11:11" x14ac:dyDescent="0.45">
      <c r="K105">
        <v>899.10882321235999</v>
      </c>
    </row>
    <row r="106" spans="11:11" x14ac:dyDescent="0.45">
      <c r="K106">
        <v>1178.7269125218472</v>
      </c>
    </row>
    <row r="107" spans="11:11" x14ac:dyDescent="0.45">
      <c r="K107">
        <v>1074.2596825763831</v>
      </c>
    </row>
    <row r="108" spans="11:11" x14ac:dyDescent="0.45">
      <c r="K108">
        <v>908.09983779121353</v>
      </c>
    </row>
    <row r="109" spans="11:11" x14ac:dyDescent="0.45">
      <c r="K109">
        <v>1173.2696710264738</v>
      </c>
    </row>
    <row r="110" spans="11:11" x14ac:dyDescent="0.45">
      <c r="K110">
        <v>1302.2557033804812</v>
      </c>
    </row>
    <row r="111" spans="11:11" x14ac:dyDescent="0.45">
      <c r="K111">
        <v>891.24477240478211</v>
      </c>
    </row>
    <row r="112" spans="11:11" x14ac:dyDescent="0.45">
      <c r="K112">
        <v>868.70604556926901</v>
      </c>
    </row>
    <row r="113" spans="2:11" x14ac:dyDescent="0.45">
      <c r="K113">
        <v>1135.4065788835512</v>
      </c>
    </row>
    <row r="114" spans="2:11" x14ac:dyDescent="0.45">
      <c r="K114">
        <v>845.85885331534485</v>
      </c>
    </row>
    <row r="115" spans="2:11" x14ac:dyDescent="0.45">
      <c r="B115">
        <f>SUM(B13:B114)</f>
        <v>1000</v>
      </c>
      <c r="K115">
        <v>749.99886423136536</v>
      </c>
    </row>
    <row r="116" spans="2:11" x14ac:dyDescent="0.45">
      <c r="K116">
        <v>1345.084972552497</v>
      </c>
    </row>
    <row r="117" spans="2:11" x14ac:dyDescent="0.45">
      <c r="K117">
        <v>1301.0668367352068</v>
      </c>
    </row>
    <row r="118" spans="2:11" x14ac:dyDescent="0.45">
      <c r="K118">
        <v>1129.5648333476822</v>
      </c>
    </row>
    <row r="119" spans="2:11" x14ac:dyDescent="0.45">
      <c r="K119">
        <v>889.23725955560349</v>
      </c>
    </row>
    <row r="120" spans="2:11" x14ac:dyDescent="0.45">
      <c r="K120">
        <v>1110.0373155140517</v>
      </c>
    </row>
    <row r="121" spans="2:11" x14ac:dyDescent="0.45">
      <c r="K121">
        <v>1100.1762999525597</v>
      </c>
    </row>
    <row r="122" spans="2:11" x14ac:dyDescent="0.45">
      <c r="K122">
        <v>1079.3223141017361</v>
      </c>
    </row>
    <row r="123" spans="2:11" x14ac:dyDescent="0.45">
      <c r="K123">
        <v>1106.0273740477801</v>
      </c>
    </row>
    <row r="124" spans="2:11" x14ac:dyDescent="0.45">
      <c r="K124">
        <v>765.91907093474185</v>
      </c>
    </row>
    <row r="125" spans="2:11" x14ac:dyDescent="0.45">
      <c r="K125">
        <v>908.82055519742414</v>
      </c>
    </row>
    <row r="126" spans="2:11" x14ac:dyDescent="0.45">
      <c r="K126">
        <v>528.82225409719774</v>
      </c>
    </row>
    <row r="127" spans="2:11" x14ac:dyDescent="0.45">
      <c r="K127">
        <v>848.40826121426596</v>
      </c>
    </row>
    <row r="128" spans="2:11" x14ac:dyDescent="0.45">
      <c r="K128">
        <v>631.96436961956442</v>
      </c>
    </row>
    <row r="129" spans="11:11" x14ac:dyDescent="0.45">
      <c r="K129">
        <v>1300.5710197092731</v>
      </c>
    </row>
    <row r="130" spans="11:11" x14ac:dyDescent="0.45">
      <c r="K130">
        <v>928.36880936731927</v>
      </c>
    </row>
    <row r="131" spans="11:11" x14ac:dyDescent="0.45">
      <c r="K131">
        <v>1035.1001230392851</v>
      </c>
    </row>
    <row r="132" spans="11:11" x14ac:dyDescent="0.45">
      <c r="K132">
        <v>1081.0519640864081</v>
      </c>
    </row>
    <row r="133" spans="11:11" x14ac:dyDescent="0.45">
      <c r="K133">
        <v>805.18443202867513</v>
      </c>
    </row>
    <row r="134" spans="11:11" x14ac:dyDescent="0.45">
      <c r="K134">
        <v>1116.4570949839081</v>
      </c>
    </row>
    <row r="135" spans="11:11" x14ac:dyDescent="0.45">
      <c r="K135">
        <v>1079.8745873607886</v>
      </c>
    </row>
    <row r="136" spans="11:11" x14ac:dyDescent="0.45">
      <c r="K136">
        <v>860.99316042194573</v>
      </c>
    </row>
    <row r="137" spans="11:11" x14ac:dyDescent="0.45">
      <c r="K137">
        <v>990.67729496141203</v>
      </c>
    </row>
    <row r="138" spans="11:11" x14ac:dyDescent="0.45">
      <c r="K138">
        <v>1178.9575406908552</v>
      </c>
    </row>
    <row r="139" spans="11:11" x14ac:dyDescent="0.45">
      <c r="K139">
        <v>800.24208050500249</v>
      </c>
    </row>
    <row r="140" spans="11:11" x14ac:dyDescent="0.45">
      <c r="K140">
        <v>1167.393594157774</v>
      </c>
    </row>
    <row r="141" spans="11:11" x14ac:dyDescent="0.45">
      <c r="K141">
        <v>883.57375763681466</v>
      </c>
    </row>
    <row r="142" spans="11:11" x14ac:dyDescent="0.45">
      <c r="K142">
        <v>973.94470788893454</v>
      </c>
    </row>
    <row r="143" spans="11:11" x14ac:dyDescent="0.45">
      <c r="K143">
        <v>1000.0807449504916</v>
      </c>
    </row>
    <row r="144" spans="11:11" x14ac:dyDescent="0.45">
      <c r="K144">
        <v>1471.6180051040835</v>
      </c>
    </row>
    <row r="145" spans="11:11" x14ac:dyDescent="0.45">
      <c r="K145">
        <v>1043.2220068592605</v>
      </c>
    </row>
    <row r="146" spans="11:11" x14ac:dyDescent="0.45">
      <c r="K146">
        <v>1410.6358387264247</v>
      </c>
    </row>
    <row r="147" spans="11:11" x14ac:dyDescent="0.45">
      <c r="K147">
        <v>1132.32643104867</v>
      </c>
    </row>
    <row r="148" spans="11:11" x14ac:dyDescent="0.45">
      <c r="K148">
        <v>1043.5876743180402</v>
      </c>
    </row>
    <row r="149" spans="11:11" x14ac:dyDescent="0.45">
      <c r="K149">
        <v>1082.1443633077315</v>
      </c>
    </row>
    <row r="150" spans="11:11" x14ac:dyDescent="0.45">
      <c r="K150">
        <v>1079.6619786549513</v>
      </c>
    </row>
    <row r="151" spans="11:11" x14ac:dyDescent="0.45">
      <c r="K151">
        <v>1032.9859844866442</v>
      </c>
    </row>
    <row r="152" spans="11:11" x14ac:dyDescent="0.45">
      <c r="K152">
        <v>1110.3145167244468</v>
      </c>
    </row>
    <row r="153" spans="11:11" x14ac:dyDescent="0.45">
      <c r="K153">
        <v>1394.2280925759658</v>
      </c>
    </row>
    <row r="154" spans="11:11" x14ac:dyDescent="0.45">
      <c r="K154">
        <v>1238.3436178104889</v>
      </c>
    </row>
    <row r="155" spans="11:11" x14ac:dyDescent="0.45">
      <c r="K155">
        <v>977.53866821208362</v>
      </c>
    </row>
    <row r="156" spans="11:11" x14ac:dyDescent="0.45">
      <c r="K156">
        <v>1236.2019925259001</v>
      </c>
    </row>
    <row r="157" spans="11:11" x14ac:dyDescent="0.45">
      <c r="K157">
        <v>1333.1413541992636</v>
      </c>
    </row>
    <row r="158" spans="11:11" x14ac:dyDescent="0.45">
      <c r="K158">
        <v>1148.6593973243748</v>
      </c>
    </row>
    <row r="159" spans="11:11" x14ac:dyDescent="0.45">
      <c r="K159">
        <v>1212.4462928443936</v>
      </c>
    </row>
    <row r="160" spans="11:11" x14ac:dyDescent="0.45">
      <c r="K160">
        <v>1101.2854527175648</v>
      </c>
    </row>
    <row r="161" spans="11:11" x14ac:dyDescent="0.45">
      <c r="K161">
        <v>1297.9552177627234</v>
      </c>
    </row>
    <row r="162" spans="11:11" x14ac:dyDescent="0.45">
      <c r="K162">
        <v>1043.7743322842909</v>
      </c>
    </row>
    <row r="163" spans="11:11" x14ac:dyDescent="0.45">
      <c r="K163">
        <v>747.21552428756672</v>
      </c>
    </row>
    <row r="164" spans="11:11" x14ac:dyDescent="0.45">
      <c r="K164">
        <v>1235.5753121766079</v>
      </c>
    </row>
    <row r="165" spans="11:11" x14ac:dyDescent="0.45">
      <c r="K165">
        <v>994.23384981943332</v>
      </c>
    </row>
    <row r="166" spans="11:11" x14ac:dyDescent="0.45">
      <c r="K166">
        <v>1216.514982805819</v>
      </c>
    </row>
    <row r="167" spans="11:11" x14ac:dyDescent="0.45">
      <c r="K167">
        <v>920.40448741502473</v>
      </c>
    </row>
    <row r="168" spans="11:11" x14ac:dyDescent="0.45">
      <c r="K168">
        <v>1229.4718590890172</v>
      </c>
    </row>
    <row r="169" spans="11:11" x14ac:dyDescent="0.45">
      <c r="K169">
        <v>1381.5534831392324</v>
      </c>
    </row>
    <row r="170" spans="11:11" x14ac:dyDescent="0.45">
      <c r="K170">
        <v>1038.0155261234679</v>
      </c>
    </row>
    <row r="171" spans="11:11" x14ac:dyDescent="0.45">
      <c r="K171">
        <v>1027.2832624219322</v>
      </c>
    </row>
    <row r="172" spans="11:11" x14ac:dyDescent="0.45">
      <c r="K172">
        <v>1073.2899586543076</v>
      </c>
    </row>
    <row r="173" spans="11:11" x14ac:dyDescent="0.45">
      <c r="K173">
        <v>1026.4070333785662</v>
      </c>
    </row>
    <row r="174" spans="11:11" x14ac:dyDescent="0.45">
      <c r="K174">
        <v>1167.3052484184047</v>
      </c>
    </row>
    <row r="175" spans="11:11" x14ac:dyDescent="0.45">
      <c r="K175">
        <v>1283.6117459985851</v>
      </c>
    </row>
    <row r="176" spans="11:11" x14ac:dyDescent="0.45">
      <c r="K176">
        <v>1230.8922511339242</v>
      </c>
    </row>
    <row r="177" spans="11:11" x14ac:dyDescent="0.45">
      <c r="K177">
        <v>1077.0605705090247</v>
      </c>
    </row>
    <row r="178" spans="11:11" x14ac:dyDescent="0.45">
      <c r="K178">
        <v>759.59107551150669</v>
      </c>
    </row>
    <row r="179" spans="11:11" x14ac:dyDescent="0.45">
      <c r="K179">
        <v>918.901431297008</v>
      </c>
    </row>
    <row r="180" spans="11:11" x14ac:dyDescent="0.45">
      <c r="K180">
        <v>1028.6799150984791</v>
      </c>
    </row>
    <row r="181" spans="11:11" x14ac:dyDescent="0.45">
      <c r="K181">
        <v>1136.1003853459104</v>
      </c>
    </row>
    <row r="182" spans="11:11" x14ac:dyDescent="0.45">
      <c r="K182">
        <v>856.34357049655841</v>
      </c>
    </row>
    <row r="183" spans="11:11" x14ac:dyDescent="0.45">
      <c r="K183">
        <v>1368.4741118285401</v>
      </c>
    </row>
    <row r="184" spans="11:11" x14ac:dyDescent="0.45">
      <c r="K184">
        <v>770.89050626742596</v>
      </c>
    </row>
    <row r="185" spans="11:11" x14ac:dyDescent="0.45">
      <c r="K185">
        <v>1184.4906199996103</v>
      </c>
    </row>
    <row r="186" spans="11:11" x14ac:dyDescent="0.45">
      <c r="K186">
        <v>1091.9920322713119</v>
      </c>
    </row>
    <row r="187" spans="11:11" x14ac:dyDescent="0.45">
      <c r="K187">
        <v>993.01412560626272</v>
      </c>
    </row>
    <row r="188" spans="11:11" x14ac:dyDescent="0.45">
      <c r="K188">
        <v>868.96289249004849</v>
      </c>
    </row>
    <row r="189" spans="11:11" x14ac:dyDescent="0.45">
      <c r="K189">
        <v>1554.3098466298022</v>
      </c>
    </row>
    <row r="190" spans="11:11" x14ac:dyDescent="0.45">
      <c r="K190">
        <v>1125.6080734421694</v>
      </c>
    </row>
    <row r="191" spans="11:11" x14ac:dyDescent="0.45">
      <c r="K191">
        <v>775.84449847287692</v>
      </c>
    </row>
    <row r="192" spans="11:11" x14ac:dyDescent="0.45">
      <c r="K192">
        <v>1060.6240913867296</v>
      </c>
    </row>
    <row r="193" spans="11:11" x14ac:dyDescent="0.45">
      <c r="K193">
        <v>760.02750933869856</v>
      </c>
    </row>
    <row r="194" spans="11:11" x14ac:dyDescent="0.45">
      <c r="K194">
        <v>864.2807772259564</v>
      </c>
    </row>
    <row r="195" spans="11:11" x14ac:dyDescent="0.45">
      <c r="K195">
        <v>815.06466930277577</v>
      </c>
    </row>
    <row r="196" spans="11:11" x14ac:dyDescent="0.45">
      <c r="K196">
        <v>776.45482560006758</v>
      </c>
    </row>
    <row r="197" spans="11:11" x14ac:dyDescent="0.45">
      <c r="K197">
        <v>790.90649277717569</v>
      </c>
    </row>
    <row r="198" spans="11:11" x14ac:dyDescent="0.45">
      <c r="K198">
        <v>1226.0691120141573</v>
      </c>
    </row>
    <row r="199" spans="11:11" x14ac:dyDescent="0.45">
      <c r="K199">
        <v>1190.8592217159789</v>
      </c>
    </row>
    <row r="200" spans="11:11" x14ac:dyDescent="0.45">
      <c r="K200">
        <v>988.04524429287562</v>
      </c>
    </row>
    <row r="201" spans="11:11" x14ac:dyDescent="0.45">
      <c r="K201">
        <v>1265.7943214857351</v>
      </c>
    </row>
    <row r="202" spans="11:11" x14ac:dyDescent="0.45">
      <c r="K202">
        <v>889.00153518612717</v>
      </c>
    </row>
    <row r="203" spans="11:11" x14ac:dyDescent="0.45">
      <c r="K203">
        <v>1103.1145239285111</v>
      </c>
    </row>
    <row r="204" spans="11:11" x14ac:dyDescent="0.45">
      <c r="K204">
        <v>1100.5308565685098</v>
      </c>
    </row>
    <row r="205" spans="11:11" x14ac:dyDescent="0.45">
      <c r="K205">
        <v>844.71468743273181</v>
      </c>
    </row>
    <row r="206" spans="11:11" x14ac:dyDescent="0.45">
      <c r="K206">
        <v>1137.7454270538817</v>
      </c>
    </row>
    <row r="207" spans="11:11" x14ac:dyDescent="0.45">
      <c r="K207">
        <v>1077.3779727871588</v>
      </c>
    </row>
    <row r="208" spans="11:11" x14ac:dyDescent="0.45">
      <c r="K208">
        <v>1204.3469871925256</v>
      </c>
    </row>
    <row r="209" spans="11:11" x14ac:dyDescent="0.45">
      <c r="K209">
        <v>881.16191590638027</v>
      </c>
    </row>
    <row r="210" spans="11:11" x14ac:dyDescent="0.45">
      <c r="K210">
        <v>1445.8038929925333</v>
      </c>
    </row>
    <row r="211" spans="11:11" x14ac:dyDescent="0.45">
      <c r="K211">
        <v>784.03619583896955</v>
      </c>
    </row>
    <row r="212" spans="11:11" x14ac:dyDescent="0.45">
      <c r="K212">
        <v>1480.5818921330774</v>
      </c>
    </row>
    <row r="213" spans="11:11" x14ac:dyDescent="0.45">
      <c r="K213">
        <v>999.97710654178809</v>
      </c>
    </row>
    <row r="214" spans="11:11" x14ac:dyDescent="0.45">
      <c r="K214">
        <v>1339.8880133228045</v>
      </c>
    </row>
    <row r="215" spans="11:11" x14ac:dyDescent="0.45">
      <c r="K215">
        <v>1208.0252584242194</v>
      </c>
    </row>
    <row r="216" spans="11:11" x14ac:dyDescent="0.45">
      <c r="K216">
        <v>1148.6187598397059</v>
      </c>
    </row>
    <row r="217" spans="11:11" x14ac:dyDescent="0.45">
      <c r="K217">
        <v>991.8340748358753</v>
      </c>
    </row>
    <row r="218" spans="11:11" x14ac:dyDescent="0.45">
      <c r="K218">
        <v>1291.6188731437533</v>
      </c>
    </row>
    <row r="219" spans="11:11" x14ac:dyDescent="0.45">
      <c r="K219">
        <v>1518.3244047747294</v>
      </c>
    </row>
    <row r="220" spans="11:11" x14ac:dyDescent="0.45">
      <c r="K220">
        <v>966.88807371364305</v>
      </c>
    </row>
    <row r="221" spans="11:11" x14ac:dyDescent="0.45">
      <c r="K221">
        <v>1015.6554445955197</v>
      </c>
    </row>
    <row r="222" spans="11:11" x14ac:dyDescent="0.45">
      <c r="K222">
        <v>1254.870606530144</v>
      </c>
    </row>
    <row r="223" spans="11:11" x14ac:dyDescent="0.45">
      <c r="K223">
        <v>867.85218063593265</v>
      </c>
    </row>
    <row r="224" spans="11:11" x14ac:dyDescent="0.45">
      <c r="K224">
        <v>806.79846960638224</v>
      </c>
    </row>
    <row r="225" spans="11:11" x14ac:dyDescent="0.45">
      <c r="K225">
        <v>993.90502599680804</v>
      </c>
    </row>
    <row r="226" spans="11:11" x14ac:dyDescent="0.45">
      <c r="K226">
        <v>568.8455120936369</v>
      </c>
    </row>
    <row r="227" spans="11:11" x14ac:dyDescent="0.45">
      <c r="K227">
        <v>1065.0421887261664</v>
      </c>
    </row>
    <row r="228" spans="11:11" x14ac:dyDescent="0.45">
      <c r="K228">
        <v>1381.4322998213443</v>
      </c>
    </row>
    <row r="229" spans="11:11" x14ac:dyDescent="0.45">
      <c r="K229">
        <v>1047.8711208095165</v>
      </c>
    </row>
    <row r="230" spans="11:11" x14ac:dyDescent="0.45">
      <c r="K230">
        <v>1044.3364741800956</v>
      </c>
    </row>
    <row r="231" spans="11:11" x14ac:dyDescent="0.45">
      <c r="K231">
        <v>725.70297529980166</v>
      </c>
    </row>
    <row r="232" spans="11:11" x14ac:dyDescent="0.45">
      <c r="K232">
        <v>1117.2783258051907</v>
      </c>
    </row>
    <row r="233" spans="11:11" x14ac:dyDescent="0.45">
      <c r="K233">
        <v>1166.0855522507254</v>
      </c>
    </row>
    <row r="234" spans="11:11" x14ac:dyDescent="0.45">
      <c r="K234">
        <v>1027.3689517454141</v>
      </c>
    </row>
    <row r="235" spans="11:11" x14ac:dyDescent="0.45">
      <c r="K235">
        <v>1185.5464015156558</v>
      </c>
    </row>
    <row r="236" spans="11:11" x14ac:dyDescent="0.45">
      <c r="K236">
        <v>1490.8297848387665</v>
      </c>
    </row>
    <row r="237" spans="11:11" x14ac:dyDescent="0.45">
      <c r="K237">
        <v>937.94775007723615</v>
      </c>
    </row>
    <row r="238" spans="11:11" x14ac:dyDescent="0.45">
      <c r="K238">
        <v>1030.0951832254973</v>
      </c>
    </row>
    <row r="239" spans="11:11" x14ac:dyDescent="0.45">
      <c r="K239">
        <v>1140.7788065010975</v>
      </c>
    </row>
    <row r="240" spans="11:11" x14ac:dyDescent="0.45">
      <c r="K240">
        <v>1263.4891535193153</v>
      </c>
    </row>
    <row r="241" spans="11:11" x14ac:dyDescent="0.45">
      <c r="K241">
        <v>1058.8350007069851</v>
      </c>
    </row>
    <row r="242" spans="11:11" x14ac:dyDescent="0.45">
      <c r="K242">
        <v>907.47875297563826</v>
      </c>
    </row>
    <row r="243" spans="11:11" x14ac:dyDescent="0.45">
      <c r="K243">
        <v>1091.3186391979332</v>
      </c>
    </row>
    <row r="244" spans="11:11" x14ac:dyDescent="0.45">
      <c r="K244">
        <v>1197.5596848107834</v>
      </c>
    </row>
    <row r="245" spans="11:11" x14ac:dyDescent="0.45">
      <c r="K245">
        <v>1092.5117971294208</v>
      </c>
    </row>
    <row r="246" spans="11:11" x14ac:dyDescent="0.45">
      <c r="K246">
        <v>1385.8326956445624</v>
      </c>
    </row>
    <row r="247" spans="11:11" x14ac:dyDescent="0.45">
      <c r="K247">
        <v>1027.4098069433014</v>
      </c>
    </row>
    <row r="248" spans="11:11" x14ac:dyDescent="0.45">
      <c r="K248">
        <v>1145.5725465556593</v>
      </c>
    </row>
    <row r="249" spans="11:11" x14ac:dyDescent="0.45">
      <c r="K249">
        <v>922.84506242817633</v>
      </c>
    </row>
    <row r="250" spans="11:11" x14ac:dyDescent="0.45">
      <c r="K250">
        <v>1281.3105233585504</v>
      </c>
    </row>
    <row r="251" spans="11:11" x14ac:dyDescent="0.45">
      <c r="K251">
        <v>876.73364275405515</v>
      </c>
    </row>
    <row r="252" spans="11:11" x14ac:dyDescent="0.45">
      <c r="K252">
        <v>1034.802384836833</v>
      </c>
    </row>
    <row r="253" spans="11:11" x14ac:dyDescent="0.45">
      <c r="K253">
        <v>1070.9417847150728</v>
      </c>
    </row>
    <row r="254" spans="11:11" x14ac:dyDescent="0.45">
      <c r="K254">
        <v>1258.6509165676873</v>
      </c>
    </row>
    <row r="255" spans="11:11" x14ac:dyDescent="0.45">
      <c r="K255">
        <v>738.31955919815744</v>
      </c>
    </row>
    <row r="256" spans="11:11" x14ac:dyDescent="0.45">
      <c r="K256">
        <v>991.50060101292161</v>
      </c>
    </row>
    <row r="257" spans="11:11" x14ac:dyDescent="0.45">
      <c r="K257">
        <v>1256.3014689922343</v>
      </c>
    </row>
    <row r="258" spans="11:11" x14ac:dyDescent="0.45">
      <c r="K258">
        <v>904.94128078022516</v>
      </c>
    </row>
    <row r="259" spans="11:11" x14ac:dyDescent="0.45">
      <c r="K259">
        <v>1093.7249523610344</v>
      </c>
    </row>
    <row r="260" spans="11:11" x14ac:dyDescent="0.45">
      <c r="K260">
        <v>1035.8690574866323</v>
      </c>
    </row>
    <row r="261" spans="11:11" x14ac:dyDescent="0.45">
      <c r="K261">
        <v>1098.0296981782283</v>
      </c>
    </row>
    <row r="262" spans="11:11" x14ac:dyDescent="0.45">
      <c r="K262">
        <v>1126.2300089339742</v>
      </c>
    </row>
    <row r="263" spans="11:11" x14ac:dyDescent="0.45">
      <c r="K263">
        <v>907.54861951583825</v>
      </c>
    </row>
    <row r="264" spans="11:11" x14ac:dyDescent="0.45">
      <c r="K264">
        <v>817.41503665068706</v>
      </c>
    </row>
    <row r="265" spans="11:11" x14ac:dyDescent="0.45">
      <c r="K265">
        <v>1328.6769329914359</v>
      </c>
    </row>
    <row r="266" spans="11:11" x14ac:dyDescent="0.45">
      <c r="K266">
        <v>682.22797286565196</v>
      </c>
    </row>
    <row r="267" spans="11:11" x14ac:dyDescent="0.45">
      <c r="K267">
        <v>1061.1043235999009</v>
      </c>
    </row>
    <row r="268" spans="11:11" x14ac:dyDescent="0.45">
      <c r="K268">
        <v>1061.7495031358299</v>
      </c>
    </row>
    <row r="269" spans="11:11" x14ac:dyDescent="0.45">
      <c r="K269">
        <v>786.38747412122859</v>
      </c>
    </row>
    <row r="270" spans="11:11" x14ac:dyDescent="0.45">
      <c r="K270">
        <v>1267.8784416218916</v>
      </c>
    </row>
    <row r="271" spans="11:11" x14ac:dyDescent="0.45">
      <c r="K271">
        <v>838.62015054674612</v>
      </c>
    </row>
    <row r="272" spans="11:11" x14ac:dyDescent="0.45">
      <c r="K272">
        <v>1036.019820680883</v>
      </c>
    </row>
    <row r="273" spans="11:11" x14ac:dyDescent="0.45">
      <c r="K273">
        <v>990.16420313237927</v>
      </c>
    </row>
    <row r="274" spans="11:11" x14ac:dyDescent="0.45">
      <c r="K274">
        <v>1498.1284621338291</v>
      </c>
    </row>
    <row r="275" spans="11:11" x14ac:dyDescent="0.45">
      <c r="K275">
        <v>1155.5709347784027</v>
      </c>
    </row>
    <row r="276" spans="11:11" x14ac:dyDescent="0.45">
      <c r="K276">
        <v>1017.069201293787</v>
      </c>
    </row>
    <row r="277" spans="11:11" x14ac:dyDescent="0.45">
      <c r="K277">
        <v>1029.0851876914339</v>
      </c>
    </row>
    <row r="278" spans="11:11" x14ac:dyDescent="0.45">
      <c r="K278">
        <v>1115.731339397578</v>
      </c>
    </row>
    <row r="279" spans="11:11" x14ac:dyDescent="0.45">
      <c r="K279">
        <v>1071.6548511680896</v>
      </c>
    </row>
    <row r="280" spans="11:11" x14ac:dyDescent="0.45">
      <c r="K280">
        <v>1173.694348291596</v>
      </c>
    </row>
    <row r="281" spans="11:11" x14ac:dyDescent="0.45">
      <c r="K281">
        <v>880.58796063720217</v>
      </c>
    </row>
    <row r="282" spans="11:11" x14ac:dyDescent="0.45">
      <c r="K282">
        <v>961.21594602548498</v>
      </c>
    </row>
    <row r="283" spans="11:11" x14ac:dyDescent="0.45">
      <c r="K283">
        <v>982.67935834453374</v>
      </c>
    </row>
    <row r="284" spans="11:11" x14ac:dyDescent="0.45">
      <c r="K284">
        <v>1019.8659890820588</v>
      </c>
    </row>
    <row r="285" spans="11:11" x14ac:dyDescent="0.45">
      <c r="K285">
        <v>940.25987327702956</v>
      </c>
    </row>
    <row r="286" spans="11:11" x14ac:dyDescent="0.45">
      <c r="K286">
        <v>1237.0080359654853</v>
      </c>
    </row>
    <row r="287" spans="11:11" x14ac:dyDescent="0.45">
      <c r="K287">
        <v>1470.0382597931871</v>
      </c>
    </row>
    <row r="288" spans="11:11" x14ac:dyDescent="0.45">
      <c r="K288">
        <v>1147.8958926626628</v>
      </c>
    </row>
    <row r="289" spans="11:11" x14ac:dyDescent="0.45">
      <c r="K289">
        <v>1341.587929646636</v>
      </c>
    </row>
    <row r="290" spans="11:11" x14ac:dyDescent="0.45">
      <c r="K290">
        <v>702.78315081988603</v>
      </c>
    </row>
    <row r="291" spans="11:11" x14ac:dyDescent="0.45">
      <c r="K291">
        <v>1243.8358725158471</v>
      </c>
    </row>
    <row r="292" spans="11:11" x14ac:dyDescent="0.45">
      <c r="K292">
        <v>1173.0683718430721</v>
      </c>
    </row>
    <row r="293" spans="11:11" x14ac:dyDescent="0.45">
      <c r="K293">
        <v>1305.3587146038867</v>
      </c>
    </row>
    <row r="294" spans="11:11" x14ac:dyDescent="0.45">
      <c r="K294">
        <v>836.19404318891327</v>
      </c>
    </row>
    <row r="295" spans="11:11" x14ac:dyDescent="0.45">
      <c r="K295">
        <v>934.61273667421199</v>
      </c>
    </row>
    <row r="296" spans="11:11" x14ac:dyDescent="0.45">
      <c r="K296">
        <v>1080.8662059674862</v>
      </c>
    </row>
    <row r="297" spans="11:11" x14ac:dyDescent="0.45">
      <c r="K297">
        <v>1359.8018506072781</v>
      </c>
    </row>
    <row r="298" spans="11:11" x14ac:dyDescent="0.45">
      <c r="K298">
        <v>1016.2236715445578</v>
      </c>
    </row>
    <row r="299" spans="11:11" x14ac:dyDescent="0.45">
      <c r="K299">
        <v>1127.7254470878838</v>
      </c>
    </row>
    <row r="300" spans="11:11" x14ac:dyDescent="0.45">
      <c r="K300">
        <v>926.74491401726016</v>
      </c>
    </row>
    <row r="301" spans="11:11" x14ac:dyDescent="0.45">
      <c r="K301">
        <v>876.52058521139588</v>
      </c>
    </row>
    <row r="302" spans="11:11" x14ac:dyDescent="0.45">
      <c r="K302">
        <v>1051.3567721678062</v>
      </c>
    </row>
    <row r="303" spans="11:11" x14ac:dyDescent="0.45">
      <c r="K303">
        <v>1018.6553945879273</v>
      </c>
    </row>
    <row r="304" spans="11:11" x14ac:dyDescent="0.45">
      <c r="K304">
        <v>1068.1711853922486</v>
      </c>
    </row>
    <row r="305" spans="11:11" x14ac:dyDescent="0.45">
      <c r="K305">
        <v>1103.2742712366251</v>
      </c>
    </row>
    <row r="306" spans="11:11" x14ac:dyDescent="0.45">
      <c r="K306">
        <v>654.49567045889512</v>
      </c>
    </row>
    <row r="307" spans="11:11" x14ac:dyDescent="0.45">
      <c r="K307">
        <v>1027.0577021036902</v>
      </c>
    </row>
    <row r="308" spans="11:11" x14ac:dyDescent="0.45">
      <c r="K308">
        <v>1310.2802918037803</v>
      </c>
    </row>
    <row r="309" spans="11:11" x14ac:dyDescent="0.45">
      <c r="K309">
        <v>1065.3809923075603</v>
      </c>
    </row>
    <row r="310" spans="11:11" x14ac:dyDescent="0.45">
      <c r="K310">
        <v>1143.7565656974505</v>
      </c>
    </row>
    <row r="311" spans="11:11" x14ac:dyDescent="0.45">
      <c r="K311">
        <v>781.59443230835029</v>
      </c>
    </row>
    <row r="312" spans="11:11" x14ac:dyDescent="0.45">
      <c r="K312">
        <v>1249.3111849786187</v>
      </c>
    </row>
    <row r="313" spans="11:11" x14ac:dyDescent="0.45">
      <c r="K313">
        <v>786.03441912353264</v>
      </c>
    </row>
    <row r="314" spans="11:11" x14ac:dyDescent="0.45">
      <c r="K314">
        <v>1095.2597526386944</v>
      </c>
    </row>
    <row r="315" spans="11:11" x14ac:dyDescent="0.45">
      <c r="K315">
        <v>1102.322683622594</v>
      </c>
    </row>
    <row r="316" spans="11:11" x14ac:dyDescent="0.45">
      <c r="K316">
        <v>821.30377990357783</v>
      </c>
    </row>
    <row r="317" spans="11:11" x14ac:dyDescent="0.45">
      <c r="K317">
        <v>1101.3024190700569</v>
      </c>
    </row>
    <row r="318" spans="11:11" x14ac:dyDescent="0.45">
      <c r="K318">
        <v>1292.6570611739935</v>
      </c>
    </row>
    <row r="319" spans="11:11" x14ac:dyDescent="0.45">
      <c r="K319">
        <v>1223.143510936269</v>
      </c>
    </row>
    <row r="320" spans="11:11" x14ac:dyDescent="0.45">
      <c r="K320">
        <v>803.04051294483452</v>
      </c>
    </row>
    <row r="321" spans="11:11" x14ac:dyDescent="0.45">
      <c r="K321">
        <v>1133.9123348266269</v>
      </c>
    </row>
    <row r="322" spans="11:11" x14ac:dyDescent="0.45">
      <c r="K322">
        <v>1051.1966612443689</v>
      </c>
    </row>
    <row r="323" spans="11:11" x14ac:dyDescent="0.45">
      <c r="K323">
        <v>712.59870283814314</v>
      </c>
    </row>
    <row r="324" spans="11:11" x14ac:dyDescent="0.45">
      <c r="K324">
        <v>1152.5479229581781</v>
      </c>
    </row>
    <row r="325" spans="11:11" x14ac:dyDescent="0.45">
      <c r="K325">
        <v>1091.5579765521386</v>
      </c>
    </row>
    <row r="326" spans="11:11" x14ac:dyDescent="0.45">
      <c r="K326">
        <v>1225.1728854631797</v>
      </c>
    </row>
    <row r="327" spans="11:11" x14ac:dyDescent="0.45">
      <c r="K327">
        <v>1093.2609961321243</v>
      </c>
    </row>
    <row r="328" spans="11:11" x14ac:dyDescent="0.45">
      <c r="K328">
        <v>1276.8006998837627</v>
      </c>
    </row>
    <row r="329" spans="11:11" x14ac:dyDescent="0.45">
      <c r="K329">
        <v>1209.7273164160356</v>
      </c>
    </row>
    <row r="330" spans="11:11" x14ac:dyDescent="0.45">
      <c r="K330">
        <v>1258.2445266928903</v>
      </c>
    </row>
    <row r="331" spans="11:11" x14ac:dyDescent="0.45">
      <c r="K331">
        <v>1099.1881457276525</v>
      </c>
    </row>
    <row r="332" spans="11:11" x14ac:dyDescent="0.45">
      <c r="K332">
        <v>1230.3339406509485</v>
      </c>
    </row>
    <row r="333" spans="11:11" x14ac:dyDescent="0.45">
      <c r="K333">
        <v>960.60782839116575</v>
      </c>
    </row>
    <row r="334" spans="11:11" x14ac:dyDescent="0.45">
      <c r="K334">
        <v>1246.82608068836</v>
      </c>
    </row>
    <row r="335" spans="11:11" x14ac:dyDescent="0.45">
      <c r="K335">
        <v>1001.2941671168319</v>
      </c>
    </row>
    <row r="336" spans="11:11" x14ac:dyDescent="0.45">
      <c r="K336">
        <v>965.91665169332703</v>
      </c>
    </row>
    <row r="337" spans="11:11" x14ac:dyDescent="0.45">
      <c r="K337">
        <v>1261.0882759512028</v>
      </c>
    </row>
    <row r="338" spans="11:11" x14ac:dyDescent="0.45">
      <c r="K338">
        <v>1078.6176666291929</v>
      </c>
    </row>
    <row r="339" spans="11:11" x14ac:dyDescent="0.45">
      <c r="K339">
        <v>1214.1841215459749</v>
      </c>
    </row>
    <row r="340" spans="11:11" x14ac:dyDescent="0.45">
      <c r="K340">
        <v>943.74547292219142</v>
      </c>
    </row>
    <row r="341" spans="11:11" x14ac:dyDescent="0.45">
      <c r="K341">
        <v>1102.8086514112708</v>
      </c>
    </row>
    <row r="342" spans="11:11" x14ac:dyDescent="0.45">
      <c r="K342">
        <v>1058.3374748823342</v>
      </c>
    </row>
    <row r="343" spans="11:11" x14ac:dyDescent="0.45">
      <c r="K343">
        <v>931.14670027090131</v>
      </c>
    </row>
    <row r="344" spans="11:11" x14ac:dyDescent="0.45">
      <c r="K344">
        <v>1094.3658120682239</v>
      </c>
    </row>
    <row r="345" spans="11:11" x14ac:dyDescent="0.45">
      <c r="K345">
        <v>1028.6949397320009</v>
      </c>
    </row>
    <row r="346" spans="11:11" x14ac:dyDescent="0.45">
      <c r="K346">
        <v>1266.4349177211059</v>
      </c>
    </row>
    <row r="347" spans="11:11" x14ac:dyDescent="0.45">
      <c r="K347">
        <v>967.62887301376145</v>
      </c>
    </row>
    <row r="348" spans="11:11" x14ac:dyDescent="0.45">
      <c r="K348">
        <v>863.25041021180323</v>
      </c>
    </row>
    <row r="349" spans="11:11" x14ac:dyDescent="0.45">
      <c r="K349">
        <v>813.01472299461534</v>
      </c>
    </row>
    <row r="350" spans="11:11" x14ac:dyDescent="0.45">
      <c r="K350">
        <v>1393.736791501155</v>
      </c>
    </row>
    <row r="351" spans="11:11" x14ac:dyDescent="0.45">
      <c r="K351">
        <v>1148.6632597057981</v>
      </c>
    </row>
    <row r="352" spans="11:11" x14ac:dyDescent="0.45">
      <c r="K352">
        <v>984.69882394514366</v>
      </c>
    </row>
    <row r="353" spans="11:11" x14ac:dyDescent="0.45">
      <c r="K353">
        <v>950.60296918676579</v>
      </c>
    </row>
    <row r="354" spans="11:11" x14ac:dyDescent="0.45">
      <c r="K354">
        <v>1085.540556144364</v>
      </c>
    </row>
    <row r="355" spans="11:11" x14ac:dyDescent="0.45">
      <c r="K355">
        <v>952.34195869022926</v>
      </c>
    </row>
    <row r="356" spans="11:11" x14ac:dyDescent="0.45">
      <c r="K356">
        <v>1004.0035641193641</v>
      </c>
    </row>
    <row r="357" spans="11:11" x14ac:dyDescent="0.45">
      <c r="K357">
        <v>1169.1024771475224</v>
      </c>
    </row>
    <row r="358" spans="11:11" x14ac:dyDescent="0.45">
      <c r="K358">
        <v>698.90906832503765</v>
      </c>
    </row>
    <row r="359" spans="11:11" x14ac:dyDescent="0.45">
      <c r="K359">
        <v>1153.8047898291202</v>
      </c>
    </row>
    <row r="360" spans="11:11" x14ac:dyDescent="0.45">
      <c r="K360">
        <v>1567.7308125449972</v>
      </c>
    </row>
    <row r="361" spans="11:11" x14ac:dyDescent="0.45">
      <c r="K361">
        <v>919.21408003928309</v>
      </c>
    </row>
    <row r="362" spans="11:11" x14ac:dyDescent="0.45">
      <c r="K362">
        <v>1208.6432483042051</v>
      </c>
    </row>
    <row r="363" spans="11:11" x14ac:dyDescent="0.45">
      <c r="K363">
        <v>981.7794792051933</v>
      </c>
    </row>
    <row r="364" spans="11:11" x14ac:dyDescent="0.45">
      <c r="K364">
        <v>1184.8164377251401</v>
      </c>
    </row>
    <row r="365" spans="11:11" x14ac:dyDescent="0.45">
      <c r="K365">
        <v>1167.9013917512652</v>
      </c>
    </row>
    <row r="366" spans="11:11" x14ac:dyDescent="0.45">
      <c r="K366">
        <v>877.95689985513195</v>
      </c>
    </row>
    <row r="367" spans="11:11" x14ac:dyDescent="0.45">
      <c r="K367">
        <v>1331.6499249318988</v>
      </c>
    </row>
    <row r="368" spans="11:11" x14ac:dyDescent="0.45">
      <c r="K368">
        <v>1058.7413752608013</v>
      </c>
    </row>
    <row r="369" spans="11:11" x14ac:dyDescent="0.45">
      <c r="K369">
        <v>1241.2911150173068</v>
      </c>
    </row>
    <row r="370" spans="11:11" x14ac:dyDescent="0.45">
      <c r="K370">
        <v>1486.3182893569467</v>
      </c>
    </row>
    <row r="371" spans="11:11" x14ac:dyDescent="0.45">
      <c r="K371">
        <v>1429.3556990611989</v>
      </c>
    </row>
    <row r="372" spans="11:11" x14ac:dyDescent="0.45">
      <c r="K372">
        <v>836.34988704829686</v>
      </c>
    </row>
    <row r="373" spans="11:11" x14ac:dyDescent="0.45">
      <c r="K373">
        <v>1334.058550091675</v>
      </c>
    </row>
    <row r="374" spans="11:11" x14ac:dyDescent="0.45">
      <c r="K374">
        <v>1489.0198871338378</v>
      </c>
    </row>
    <row r="375" spans="11:11" x14ac:dyDescent="0.45">
      <c r="K375">
        <v>940.07205690812737</v>
      </c>
    </row>
    <row r="376" spans="11:11" x14ac:dyDescent="0.45">
      <c r="K376">
        <v>1407.077946196265</v>
      </c>
    </row>
    <row r="377" spans="11:11" x14ac:dyDescent="0.45">
      <c r="K377">
        <v>949.19927508046976</v>
      </c>
    </row>
    <row r="378" spans="11:11" x14ac:dyDescent="0.45">
      <c r="K378">
        <v>1044.2856453703523</v>
      </c>
    </row>
    <row r="379" spans="11:11" x14ac:dyDescent="0.45">
      <c r="K379">
        <v>1159.1885934017605</v>
      </c>
    </row>
    <row r="380" spans="11:11" x14ac:dyDescent="0.45">
      <c r="K380">
        <v>1106.2827683696462</v>
      </c>
    </row>
    <row r="381" spans="11:11" x14ac:dyDescent="0.45">
      <c r="K381">
        <v>1251.2652590381881</v>
      </c>
    </row>
    <row r="382" spans="11:11" x14ac:dyDescent="0.45">
      <c r="K382">
        <v>1305.4750636863457</v>
      </c>
    </row>
    <row r="383" spans="11:11" x14ac:dyDescent="0.45">
      <c r="K383">
        <v>1136.272421290834</v>
      </c>
    </row>
    <row r="384" spans="11:11" x14ac:dyDescent="0.45">
      <c r="K384">
        <v>1030.4415710438307</v>
      </c>
    </row>
    <row r="385" spans="11:11" x14ac:dyDescent="0.45">
      <c r="K385">
        <v>986.3411044089579</v>
      </c>
    </row>
    <row r="386" spans="11:11" x14ac:dyDescent="0.45">
      <c r="K386">
        <v>790.91028782233411</v>
      </c>
    </row>
    <row r="387" spans="11:11" x14ac:dyDescent="0.45">
      <c r="K387">
        <v>1073.2735240996421</v>
      </c>
    </row>
    <row r="388" spans="11:11" x14ac:dyDescent="0.45">
      <c r="K388">
        <v>1130.2268965456542</v>
      </c>
    </row>
    <row r="389" spans="11:11" x14ac:dyDescent="0.45">
      <c r="K389">
        <v>1496.2927671623438</v>
      </c>
    </row>
    <row r="390" spans="11:11" x14ac:dyDescent="0.45">
      <c r="K390">
        <v>1064.0013004458642</v>
      </c>
    </row>
    <row r="391" spans="11:11" x14ac:dyDescent="0.45">
      <c r="K391">
        <v>1037.1702704998054</v>
      </c>
    </row>
    <row r="392" spans="11:11" x14ac:dyDescent="0.45">
      <c r="K392">
        <v>984.97770975620631</v>
      </c>
    </row>
    <row r="393" spans="11:11" x14ac:dyDescent="0.45">
      <c r="K393">
        <v>1116.3011112268803</v>
      </c>
    </row>
    <row r="394" spans="11:11" x14ac:dyDescent="0.45">
      <c r="K394">
        <v>1013.8320256732078</v>
      </c>
    </row>
    <row r="395" spans="11:11" x14ac:dyDescent="0.45">
      <c r="K395">
        <v>1331.5854521720348</v>
      </c>
    </row>
    <row r="396" spans="11:11" x14ac:dyDescent="0.45">
      <c r="K396">
        <v>1128.9460055559496</v>
      </c>
    </row>
    <row r="397" spans="11:11" x14ac:dyDescent="0.45">
      <c r="K397">
        <v>1130.2509696799041</v>
      </c>
    </row>
    <row r="398" spans="11:11" x14ac:dyDescent="0.45">
      <c r="K398">
        <v>1202.1400827911923</v>
      </c>
    </row>
    <row r="399" spans="11:11" x14ac:dyDescent="0.45">
      <c r="K399">
        <v>1059.0005373043837</v>
      </c>
    </row>
    <row r="400" spans="11:11" x14ac:dyDescent="0.45">
      <c r="K400">
        <v>1022.1263516520719</v>
      </c>
    </row>
    <row r="401" spans="11:11" x14ac:dyDescent="0.45">
      <c r="K401">
        <v>998.88606373919447</v>
      </c>
    </row>
    <row r="402" spans="11:11" x14ac:dyDescent="0.45">
      <c r="K402">
        <v>977.80818581210656</v>
      </c>
    </row>
    <row r="403" spans="11:11" x14ac:dyDescent="0.45">
      <c r="K403">
        <v>1303.2255487487691</v>
      </c>
    </row>
    <row r="404" spans="11:11" x14ac:dyDescent="0.45">
      <c r="K404">
        <v>933.48593792921156</v>
      </c>
    </row>
    <row r="405" spans="11:11" x14ac:dyDescent="0.45">
      <c r="K405">
        <v>1134.5591794319762</v>
      </c>
    </row>
    <row r="406" spans="11:11" x14ac:dyDescent="0.45">
      <c r="K406">
        <v>1075.6071600823241</v>
      </c>
    </row>
    <row r="407" spans="11:11" x14ac:dyDescent="0.45">
      <c r="K407">
        <v>1032.5730870792522</v>
      </c>
    </row>
    <row r="408" spans="11:11" x14ac:dyDescent="0.45">
      <c r="K408">
        <v>1126.989428880099</v>
      </c>
    </row>
    <row r="409" spans="11:11" x14ac:dyDescent="0.45">
      <c r="K409">
        <v>910.70157871940103</v>
      </c>
    </row>
    <row r="410" spans="11:11" x14ac:dyDescent="0.45">
      <c r="K410">
        <v>690.60061807316731</v>
      </c>
    </row>
    <row r="411" spans="11:11" x14ac:dyDescent="0.45">
      <c r="K411">
        <v>845.84133484579684</v>
      </c>
    </row>
    <row r="412" spans="11:11" x14ac:dyDescent="0.45">
      <c r="K412">
        <v>1181.7035667620123</v>
      </c>
    </row>
    <row r="413" spans="11:11" x14ac:dyDescent="0.45">
      <c r="K413">
        <v>788.30262442552316</v>
      </c>
    </row>
    <row r="414" spans="11:11" x14ac:dyDescent="0.45">
      <c r="K414">
        <v>1249.2007751199899</v>
      </c>
    </row>
    <row r="415" spans="11:11" x14ac:dyDescent="0.45">
      <c r="K415">
        <v>1119.2150661493354</v>
      </c>
    </row>
    <row r="416" spans="11:11" x14ac:dyDescent="0.45">
      <c r="K416">
        <v>895.45671809069961</v>
      </c>
    </row>
    <row r="417" spans="11:11" x14ac:dyDescent="0.45">
      <c r="K417">
        <v>1150.3567040645528</v>
      </c>
    </row>
    <row r="418" spans="11:11" x14ac:dyDescent="0.45">
      <c r="K418">
        <v>1325.768760030676</v>
      </c>
    </row>
    <row r="419" spans="11:11" x14ac:dyDescent="0.45">
      <c r="K419">
        <v>1079.6500216314407</v>
      </c>
    </row>
    <row r="420" spans="11:11" x14ac:dyDescent="0.45">
      <c r="K420">
        <v>1213.2567458998744</v>
      </c>
    </row>
    <row r="421" spans="11:11" x14ac:dyDescent="0.45">
      <c r="K421">
        <v>1451.4996972203567</v>
      </c>
    </row>
    <row r="422" spans="11:11" x14ac:dyDescent="0.45">
      <c r="K422">
        <v>961.69440859825886</v>
      </c>
    </row>
    <row r="423" spans="11:11" x14ac:dyDescent="0.45">
      <c r="K423">
        <v>1198.9561095707288</v>
      </c>
    </row>
    <row r="424" spans="11:11" x14ac:dyDescent="0.45">
      <c r="K424">
        <v>946.93222481885505</v>
      </c>
    </row>
    <row r="425" spans="11:11" x14ac:dyDescent="0.45">
      <c r="K425">
        <v>849.12811383288931</v>
      </c>
    </row>
    <row r="426" spans="11:11" x14ac:dyDescent="0.45">
      <c r="K426">
        <v>1128.2709671111484</v>
      </c>
    </row>
    <row r="427" spans="11:11" x14ac:dyDescent="0.45">
      <c r="K427">
        <v>953.98779845908814</v>
      </c>
    </row>
    <row r="428" spans="11:11" x14ac:dyDescent="0.45">
      <c r="K428">
        <v>919.98328830703917</v>
      </c>
    </row>
    <row r="429" spans="11:11" x14ac:dyDescent="0.45">
      <c r="K429">
        <v>1528.8525704954916</v>
      </c>
    </row>
    <row r="430" spans="11:11" x14ac:dyDescent="0.45">
      <c r="K430">
        <v>1069.3066140189676</v>
      </c>
    </row>
    <row r="431" spans="11:11" x14ac:dyDescent="0.45">
      <c r="K431">
        <v>1012.8294894917871</v>
      </c>
    </row>
    <row r="432" spans="11:11" x14ac:dyDescent="0.45">
      <c r="K432">
        <v>1146.5847517423174</v>
      </c>
    </row>
    <row r="433" spans="11:11" x14ac:dyDescent="0.45">
      <c r="K433">
        <v>1176.3495730082445</v>
      </c>
    </row>
    <row r="434" spans="11:11" x14ac:dyDescent="0.45">
      <c r="K434">
        <v>1141.361032019975</v>
      </c>
    </row>
    <row r="435" spans="11:11" x14ac:dyDescent="0.45">
      <c r="K435">
        <v>971.89426044571235</v>
      </c>
    </row>
    <row r="436" spans="11:11" x14ac:dyDescent="0.45">
      <c r="K436">
        <v>951.3487187561301</v>
      </c>
    </row>
    <row r="437" spans="11:11" x14ac:dyDescent="0.45">
      <c r="K437">
        <v>777.37754238246487</v>
      </c>
    </row>
    <row r="438" spans="11:11" x14ac:dyDescent="0.45">
      <c r="K438">
        <v>828.35578067949041</v>
      </c>
    </row>
    <row r="439" spans="11:11" x14ac:dyDescent="0.45">
      <c r="K439">
        <v>1107.4522548921789</v>
      </c>
    </row>
    <row r="440" spans="11:11" x14ac:dyDescent="0.45">
      <c r="K440">
        <v>1172.4696120118931</v>
      </c>
    </row>
    <row r="441" spans="11:11" x14ac:dyDescent="0.45">
      <c r="K441">
        <v>930.84804294794822</v>
      </c>
    </row>
    <row r="442" spans="11:11" x14ac:dyDescent="0.45">
      <c r="K442">
        <v>887.57613473689605</v>
      </c>
    </row>
    <row r="443" spans="11:11" x14ac:dyDescent="0.45">
      <c r="K443">
        <v>885.35829010640691</v>
      </c>
    </row>
    <row r="444" spans="11:11" x14ac:dyDescent="0.45">
      <c r="K444">
        <v>1434.4462573143073</v>
      </c>
    </row>
    <row r="445" spans="11:11" x14ac:dyDescent="0.45">
      <c r="K445">
        <v>1230.5385329576802</v>
      </c>
    </row>
    <row r="446" spans="11:11" x14ac:dyDescent="0.45">
      <c r="K446">
        <v>1186.7869101309152</v>
      </c>
    </row>
    <row r="447" spans="11:11" x14ac:dyDescent="0.45">
      <c r="K447">
        <v>641.49561784604293</v>
      </c>
    </row>
    <row r="448" spans="11:11" x14ac:dyDescent="0.45">
      <c r="K448">
        <v>1080.0424127530507</v>
      </c>
    </row>
    <row r="449" spans="11:11" x14ac:dyDescent="0.45">
      <c r="K449">
        <v>917.22600795136395</v>
      </c>
    </row>
    <row r="450" spans="11:11" x14ac:dyDescent="0.45">
      <c r="K450">
        <v>1215.8423181449716</v>
      </c>
    </row>
    <row r="451" spans="11:11" x14ac:dyDescent="0.45">
      <c r="K451">
        <v>1159.5084052914895</v>
      </c>
    </row>
    <row r="452" spans="11:11" x14ac:dyDescent="0.45">
      <c r="K452">
        <v>868.52337253499604</v>
      </c>
    </row>
    <row r="453" spans="11:11" x14ac:dyDescent="0.45">
      <c r="K453">
        <v>1226.2885471501111</v>
      </c>
    </row>
    <row r="454" spans="11:11" x14ac:dyDescent="0.45">
      <c r="K454">
        <v>1025.9795090069858</v>
      </c>
    </row>
    <row r="455" spans="11:11" x14ac:dyDescent="0.45">
      <c r="K455">
        <v>1477.0212583189134</v>
      </c>
    </row>
    <row r="456" spans="11:11" x14ac:dyDescent="0.45">
      <c r="K456">
        <v>1074.8565128792213</v>
      </c>
    </row>
    <row r="457" spans="11:11" x14ac:dyDescent="0.45">
      <c r="K457">
        <v>574.64585820948139</v>
      </c>
    </row>
    <row r="458" spans="11:11" x14ac:dyDescent="0.45">
      <c r="K458">
        <v>963.17617747515817</v>
      </c>
    </row>
    <row r="459" spans="11:11" x14ac:dyDescent="0.45">
      <c r="K459">
        <v>875.12502197127071</v>
      </c>
    </row>
    <row r="460" spans="11:11" x14ac:dyDescent="0.45">
      <c r="K460">
        <v>1190.8172821963183</v>
      </c>
    </row>
    <row r="461" spans="11:11" x14ac:dyDescent="0.45">
      <c r="K461">
        <v>984.64105443350002</v>
      </c>
    </row>
    <row r="462" spans="11:11" x14ac:dyDescent="0.45">
      <c r="K462">
        <v>1121.3679014979</v>
      </c>
    </row>
    <row r="463" spans="11:11" x14ac:dyDescent="0.45">
      <c r="K463">
        <v>716.74536014254886</v>
      </c>
    </row>
    <row r="464" spans="11:11" x14ac:dyDescent="0.45">
      <c r="K464">
        <v>1095.6854386000696</v>
      </c>
    </row>
    <row r="465" spans="11:11" x14ac:dyDescent="0.45">
      <c r="K465">
        <v>1328.4470416677541</v>
      </c>
    </row>
    <row r="466" spans="11:11" x14ac:dyDescent="0.45">
      <c r="K466">
        <v>854.37928815816781</v>
      </c>
    </row>
    <row r="467" spans="11:11" x14ac:dyDescent="0.45">
      <c r="K467">
        <v>846.30820124118452</v>
      </c>
    </row>
    <row r="468" spans="11:11" x14ac:dyDescent="0.45">
      <c r="K468">
        <v>1301.3605854432797</v>
      </c>
    </row>
    <row r="469" spans="11:11" x14ac:dyDescent="0.45">
      <c r="K469">
        <v>846.71152260407939</v>
      </c>
    </row>
    <row r="470" spans="11:11" x14ac:dyDescent="0.45">
      <c r="K470">
        <v>1350.8439211411783</v>
      </c>
    </row>
    <row r="471" spans="11:11" x14ac:dyDescent="0.45">
      <c r="K471">
        <v>1219.5423786165095</v>
      </c>
    </row>
    <row r="472" spans="11:11" x14ac:dyDescent="0.45">
      <c r="K472">
        <v>868.76436992204265</v>
      </c>
    </row>
    <row r="473" spans="11:11" x14ac:dyDescent="0.45">
      <c r="K473">
        <v>1107.3261308662554</v>
      </c>
    </row>
    <row r="474" spans="11:11" x14ac:dyDescent="0.45">
      <c r="K474">
        <v>1119.1445673857443</v>
      </c>
    </row>
    <row r="475" spans="11:11" x14ac:dyDescent="0.45">
      <c r="K475">
        <v>968.40956241108267</v>
      </c>
    </row>
    <row r="476" spans="11:11" x14ac:dyDescent="0.45">
      <c r="K476">
        <v>812.57957995269328</v>
      </c>
    </row>
    <row r="477" spans="11:11" x14ac:dyDescent="0.45">
      <c r="K477">
        <v>1363.4553221058502</v>
      </c>
    </row>
    <row r="478" spans="11:11" x14ac:dyDescent="0.45">
      <c r="K478">
        <v>823.48939759440009</v>
      </c>
    </row>
    <row r="479" spans="11:11" x14ac:dyDescent="0.45">
      <c r="K479">
        <v>768.6601564318712</v>
      </c>
    </row>
    <row r="480" spans="11:11" x14ac:dyDescent="0.45">
      <c r="K480">
        <v>842.65860527735367</v>
      </c>
    </row>
    <row r="481" spans="11:11" x14ac:dyDescent="0.45">
      <c r="K481">
        <v>853.17318606941467</v>
      </c>
    </row>
    <row r="482" spans="11:11" x14ac:dyDescent="0.45">
      <c r="K482">
        <v>1317.0378483560321</v>
      </c>
    </row>
    <row r="483" spans="11:11" x14ac:dyDescent="0.45">
      <c r="K483">
        <v>1278.0785990274833</v>
      </c>
    </row>
    <row r="484" spans="11:11" x14ac:dyDescent="0.45">
      <c r="K484">
        <v>1050.3417183555814</v>
      </c>
    </row>
    <row r="485" spans="11:11" x14ac:dyDescent="0.45">
      <c r="K485">
        <v>957.68313971737825</v>
      </c>
    </row>
    <row r="486" spans="11:11" x14ac:dyDescent="0.45">
      <c r="K486">
        <v>1143.3196851107164</v>
      </c>
    </row>
    <row r="487" spans="11:11" x14ac:dyDescent="0.45">
      <c r="K487">
        <v>1333.6882485608826</v>
      </c>
    </row>
    <row r="488" spans="11:11" x14ac:dyDescent="0.45">
      <c r="K488">
        <v>1001.48981719789</v>
      </c>
    </row>
    <row r="489" spans="11:11" x14ac:dyDescent="0.45">
      <c r="K489">
        <v>1174.0947230320862</v>
      </c>
    </row>
    <row r="490" spans="11:11" x14ac:dyDescent="0.45">
      <c r="K490">
        <v>863.18109240661545</v>
      </c>
    </row>
    <row r="491" spans="11:11" x14ac:dyDescent="0.45">
      <c r="K491">
        <v>1435.9383093231766</v>
      </c>
    </row>
    <row r="492" spans="11:11" x14ac:dyDescent="0.45">
      <c r="K492">
        <v>886.53078885398497</v>
      </c>
    </row>
    <row r="493" spans="11:11" x14ac:dyDescent="0.45">
      <c r="K493">
        <v>952.72023701808757</v>
      </c>
    </row>
    <row r="494" spans="11:11" x14ac:dyDescent="0.45">
      <c r="K494">
        <v>1208.6691233629949</v>
      </c>
    </row>
    <row r="495" spans="11:11" x14ac:dyDescent="0.45">
      <c r="K495">
        <v>1310.1506741942785</v>
      </c>
    </row>
    <row r="496" spans="11:11" x14ac:dyDescent="0.45">
      <c r="K496">
        <v>1305.8020867307437</v>
      </c>
    </row>
    <row r="497" spans="11:11" x14ac:dyDescent="0.45">
      <c r="K497">
        <v>1279.9092594487227</v>
      </c>
    </row>
    <row r="498" spans="11:11" x14ac:dyDescent="0.45">
      <c r="K498">
        <v>1004.5239503908795</v>
      </c>
    </row>
    <row r="499" spans="11:11" x14ac:dyDescent="0.45">
      <c r="K499">
        <v>1159.1211509407456</v>
      </c>
    </row>
    <row r="500" spans="11:11" x14ac:dyDescent="0.45">
      <c r="K500">
        <v>725.24962483753666</v>
      </c>
    </row>
    <row r="501" spans="11:11" x14ac:dyDescent="0.45">
      <c r="K501">
        <v>861.18746442491124</v>
      </c>
    </row>
    <row r="502" spans="11:11" x14ac:dyDescent="0.45">
      <c r="K502">
        <v>1093.4790635248437</v>
      </c>
    </row>
    <row r="503" spans="11:11" x14ac:dyDescent="0.45">
      <c r="K503">
        <v>916.67543452444306</v>
      </c>
    </row>
    <row r="504" spans="11:11" x14ac:dyDescent="0.45">
      <c r="K504">
        <v>1287.8129295831061</v>
      </c>
    </row>
    <row r="505" spans="11:11" x14ac:dyDescent="0.45">
      <c r="K505">
        <v>1295.8600784359201</v>
      </c>
    </row>
    <row r="506" spans="11:11" x14ac:dyDescent="0.45">
      <c r="K506">
        <v>1097.4230538160552</v>
      </c>
    </row>
    <row r="507" spans="11:11" x14ac:dyDescent="0.45">
      <c r="K507">
        <v>921.47250061097259</v>
      </c>
    </row>
    <row r="508" spans="11:11" x14ac:dyDescent="0.45">
      <c r="K508">
        <v>1057.1902776166282</v>
      </c>
    </row>
    <row r="509" spans="11:11" x14ac:dyDescent="0.45">
      <c r="K509">
        <v>1324.9236601573466</v>
      </c>
    </row>
    <row r="510" spans="11:11" x14ac:dyDescent="0.45">
      <c r="K510">
        <v>1033.6792864412607</v>
      </c>
    </row>
    <row r="511" spans="11:11" x14ac:dyDescent="0.45">
      <c r="K511">
        <v>1062.1988223741462</v>
      </c>
    </row>
    <row r="512" spans="11:11" x14ac:dyDescent="0.45">
      <c r="K512">
        <v>1221.4303127386258</v>
      </c>
    </row>
    <row r="513" spans="11:11" x14ac:dyDescent="0.45">
      <c r="K513">
        <v>1042.6689085307237</v>
      </c>
    </row>
    <row r="514" spans="11:11" x14ac:dyDescent="0.45">
      <c r="K514">
        <v>917.6352868443737</v>
      </c>
    </row>
    <row r="515" spans="11:11" x14ac:dyDescent="0.45">
      <c r="K515">
        <v>737.04312368150363</v>
      </c>
    </row>
    <row r="516" spans="11:11" x14ac:dyDescent="0.45">
      <c r="K516">
        <v>1037.3181481587212</v>
      </c>
    </row>
    <row r="517" spans="11:11" x14ac:dyDescent="0.45">
      <c r="K517">
        <v>630.02121741015253</v>
      </c>
    </row>
    <row r="518" spans="11:11" x14ac:dyDescent="0.45">
      <c r="K518">
        <v>1175.0523643580086</v>
      </c>
    </row>
    <row r="519" spans="11:11" x14ac:dyDescent="0.45">
      <c r="K519">
        <v>1093.8180679879881</v>
      </c>
    </row>
    <row r="520" spans="11:11" x14ac:dyDescent="0.45">
      <c r="K520">
        <v>943.38402042937491</v>
      </c>
    </row>
    <row r="521" spans="11:11" x14ac:dyDescent="0.45">
      <c r="K521">
        <v>914.65395701551097</v>
      </c>
    </row>
    <row r="522" spans="11:11" x14ac:dyDescent="0.45">
      <c r="K522">
        <v>994.2823830402707</v>
      </c>
    </row>
    <row r="523" spans="11:11" x14ac:dyDescent="0.45">
      <c r="K523">
        <v>895.06408266951075</v>
      </c>
    </row>
    <row r="524" spans="11:11" x14ac:dyDescent="0.45">
      <c r="K524">
        <v>884.57997452269103</v>
      </c>
    </row>
    <row r="525" spans="11:11" x14ac:dyDescent="0.45">
      <c r="K525">
        <v>1225.0407334956992</v>
      </c>
    </row>
    <row r="526" spans="11:11" x14ac:dyDescent="0.45">
      <c r="K526">
        <v>1289.4943965346408</v>
      </c>
    </row>
    <row r="527" spans="11:11" x14ac:dyDescent="0.45">
      <c r="K527">
        <v>647.40030034924098</v>
      </c>
    </row>
    <row r="528" spans="11:11" x14ac:dyDescent="0.45">
      <c r="K528">
        <v>1199.3460326127388</v>
      </c>
    </row>
    <row r="529" spans="11:11" x14ac:dyDescent="0.45">
      <c r="K529">
        <v>1188.4955132790192</v>
      </c>
    </row>
    <row r="530" spans="11:11" x14ac:dyDescent="0.45">
      <c r="K530">
        <v>919.89596372720075</v>
      </c>
    </row>
    <row r="531" spans="11:11" x14ac:dyDescent="0.45">
      <c r="K531">
        <v>1167.3698771498568</v>
      </c>
    </row>
    <row r="532" spans="11:11" x14ac:dyDescent="0.45">
      <c r="K532">
        <v>941.59227353475558</v>
      </c>
    </row>
    <row r="533" spans="11:11" x14ac:dyDescent="0.45">
      <c r="K533">
        <v>958.30514827111506</v>
      </c>
    </row>
    <row r="534" spans="11:11" x14ac:dyDescent="0.45">
      <c r="K534">
        <v>755.16199074969427</v>
      </c>
    </row>
    <row r="535" spans="11:11" x14ac:dyDescent="0.45">
      <c r="K535">
        <v>1064.7441250302593</v>
      </c>
    </row>
    <row r="536" spans="11:11" x14ac:dyDescent="0.45">
      <c r="K536">
        <v>1275.8961273866637</v>
      </c>
    </row>
    <row r="537" spans="11:11" x14ac:dyDescent="0.45">
      <c r="K537">
        <v>917.38931429035495</v>
      </c>
    </row>
    <row r="538" spans="11:11" x14ac:dyDescent="0.45">
      <c r="K538">
        <v>1522.4995187733994</v>
      </c>
    </row>
    <row r="539" spans="11:11" x14ac:dyDescent="0.45">
      <c r="K539">
        <v>746.56786867954679</v>
      </c>
    </row>
    <row r="540" spans="11:11" x14ac:dyDescent="0.45">
      <c r="K540">
        <v>839.97869456586398</v>
      </c>
    </row>
    <row r="541" spans="11:11" x14ac:dyDescent="0.45">
      <c r="K541">
        <v>907.52358951955398</v>
      </c>
    </row>
    <row r="542" spans="11:11" x14ac:dyDescent="0.45">
      <c r="K542">
        <v>1228.0799125366038</v>
      </c>
    </row>
    <row r="543" spans="11:11" x14ac:dyDescent="0.45">
      <c r="K543">
        <v>1226.7609169616217</v>
      </c>
    </row>
    <row r="544" spans="11:11" x14ac:dyDescent="0.45">
      <c r="K544">
        <v>1244.7870339871026</v>
      </c>
    </row>
    <row r="545" spans="11:11" x14ac:dyDescent="0.45">
      <c r="K545">
        <v>1075.0167753514718</v>
      </c>
    </row>
    <row r="546" spans="11:11" x14ac:dyDescent="0.45">
      <c r="K546">
        <v>879.70511284783811</v>
      </c>
    </row>
    <row r="547" spans="11:11" x14ac:dyDescent="0.45">
      <c r="K547">
        <v>1107.1498289000265</v>
      </c>
    </row>
    <row r="548" spans="11:11" x14ac:dyDescent="0.45">
      <c r="K548">
        <v>953.77161219815969</v>
      </c>
    </row>
    <row r="549" spans="11:11" x14ac:dyDescent="0.45">
      <c r="K549">
        <v>947.43550851553903</v>
      </c>
    </row>
    <row r="550" spans="11:11" x14ac:dyDescent="0.45">
      <c r="K550">
        <v>914.07849411911252</v>
      </c>
    </row>
    <row r="551" spans="11:11" x14ac:dyDescent="0.45">
      <c r="K551">
        <v>1142.0000878884923</v>
      </c>
    </row>
    <row r="552" spans="11:11" x14ac:dyDescent="0.45">
      <c r="K552">
        <v>1240.0600097064739</v>
      </c>
    </row>
    <row r="553" spans="11:11" x14ac:dyDescent="0.45">
      <c r="K553">
        <v>1189.7292365786359</v>
      </c>
    </row>
    <row r="554" spans="11:11" x14ac:dyDescent="0.45">
      <c r="K554">
        <v>831.90198627237601</v>
      </c>
    </row>
    <row r="555" spans="11:11" x14ac:dyDescent="0.45">
      <c r="K555">
        <v>932.67319493720572</v>
      </c>
    </row>
    <row r="556" spans="11:11" x14ac:dyDescent="0.45">
      <c r="K556">
        <v>615.90051360086295</v>
      </c>
    </row>
    <row r="557" spans="11:11" x14ac:dyDescent="0.45">
      <c r="K557">
        <v>1091.7724612506065</v>
      </c>
    </row>
    <row r="558" spans="11:11" x14ac:dyDescent="0.45">
      <c r="K558">
        <v>1221.7387910347788</v>
      </c>
    </row>
    <row r="559" spans="11:11" x14ac:dyDescent="0.45">
      <c r="K559">
        <v>1247.2600058111648</v>
      </c>
    </row>
    <row r="560" spans="11:11" x14ac:dyDescent="0.45">
      <c r="K560">
        <v>1149.8363361512017</v>
      </c>
    </row>
    <row r="561" spans="11:11" x14ac:dyDescent="0.45">
      <c r="K561">
        <v>1052.9976167469977</v>
      </c>
    </row>
    <row r="562" spans="11:11" x14ac:dyDescent="0.45">
      <c r="K562">
        <v>1266.3687617642986</v>
      </c>
    </row>
    <row r="563" spans="11:11" x14ac:dyDescent="0.45">
      <c r="K563">
        <v>1095.0875168295702</v>
      </c>
    </row>
    <row r="564" spans="11:11" x14ac:dyDescent="0.45">
      <c r="K564">
        <v>927.60478281014105</v>
      </c>
    </row>
    <row r="565" spans="11:11" x14ac:dyDescent="0.45">
      <c r="K565">
        <v>1040.997332237202</v>
      </c>
    </row>
    <row r="566" spans="11:11" x14ac:dyDescent="0.45">
      <c r="K566">
        <v>1056.6164008920418</v>
      </c>
    </row>
    <row r="567" spans="11:11" x14ac:dyDescent="0.45">
      <c r="K567">
        <v>894.91773531596959</v>
      </c>
    </row>
    <row r="568" spans="11:11" x14ac:dyDescent="0.45">
      <c r="K568">
        <v>1175.6370668924801</v>
      </c>
    </row>
    <row r="569" spans="11:11" x14ac:dyDescent="0.45">
      <c r="K569">
        <v>841.58052106187404</v>
      </c>
    </row>
    <row r="570" spans="11:11" x14ac:dyDescent="0.45">
      <c r="K570">
        <v>913.2053510127098</v>
      </c>
    </row>
    <row r="571" spans="11:11" x14ac:dyDescent="0.45">
      <c r="K571">
        <v>1315.2520033906071</v>
      </c>
    </row>
    <row r="572" spans="11:11" x14ac:dyDescent="0.45">
      <c r="K572">
        <v>651.70296734527165</v>
      </c>
    </row>
    <row r="573" spans="11:11" x14ac:dyDescent="0.45">
      <c r="K573">
        <v>1155.6280774910401</v>
      </c>
    </row>
    <row r="574" spans="11:11" x14ac:dyDescent="0.45">
      <c r="K574">
        <v>777.97298496255053</v>
      </c>
    </row>
    <row r="575" spans="11:11" x14ac:dyDescent="0.45">
      <c r="K575">
        <v>1326.5480961294065</v>
      </c>
    </row>
    <row r="576" spans="11:11" x14ac:dyDescent="0.45">
      <c r="K576">
        <v>1049.1479706896944</v>
      </c>
    </row>
    <row r="577" spans="11:11" x14ac:dyDescent="0.45">
      <c r="K577">
        <v>786.67891018210025</v>
      </c>
    </row>
    <row r="578" spans="11:11" x14ac:dyDescent="0.45">
      <c r="K578">
        <v>954.21111331562247</v>
      </c>
    </row>
    <row r="579" spans="11:11" x14ac:dyDescent="0.45">
      <c r="K579">
        <v>659.80640751671194</v>
      </c>
    </row>
    <row r="580" spans="11:11" x14ac:dyDescent="0.45">
      <c r="K580">
        <v>1296.5431875930935</v>
      </c>
    </row>
    <row r="581" spans="11:11" x14ac:dyDescent="0.45">
      <c r="K581">
        <v>1216.3844507159827</v>
      </c>
    </row>
    <row r="582" spans="11:11" x14ac:dyDescent="0.45">
      <c r="K582">
        <v>1052.4762498110381</v>
      </c>
    </row>
    <row r="583" spans="11:11" x14ac:dyDescent="0.45">
      <c r="K583">
        <v>997.99803938773141</v>
      </c>
    </row>
    <row r="584" spans="11:11" x14ac:dyDescent="0.45">
      <c r="K584">
        <v>1155.410276579451</v>
      </c>
    </row>
    <row r="585" spans="11:11" x14ac:dyDescent="0.45">
      <c r="K585">
        <v>719.65367935067002</v>
      </c>
    </row>
    <row r="586" spans="11:11" x14ac:dyDescent="0.45">
      <c r="K586">
        <v>1112.841894850312</v>
      </c>
    </row>
    <row r="587" spans="11:11" x14ac:dyDescent="0.45">
      <c r="K587">
        <v>1073.841013132306</v>
      </c>
    </row>
    <row r="588" spans="11:11" x14ac:dyDescent="0.45">
      <c r="K588">
        <v>1171.0202094682475</v>
      </c>
    </row>
    <row r="589" spans="11:11" x14ac:dyDescent="0.45">
      <c r="K589">
        <v>1197.19356106736</v>
      </c>
    </row>
    <row r="590" spans="11:11" x14ac:dyDescent="0.45">
      <c r="K590">
        <v>1073.2566396275224</v>
      </c>
    </row>
    <row r="591" spans="11:11" x14ac:dyDescent="0.45">
      <c r="K591">
        <v>903.62249615379301</v>
      </c>
    </row>
    <row r="592" spans="11:11" x14ac:dyDescent="0.45">
      <c r="K592">
        <v>1157.7761855106864</v>
      </c>
    </row>
    <row r="593" spans="11:11" x14ac:dyDescent="0.45">
      <c r="K593">
        <v>905.84395963833413</v>
      </c>
    </row>
    <row r="594" spans="11:11" x14ac:dyDescent="0.45">
      <c r="K594">
        <v>828.41671293379602</v>
      </c>
    </row>
    <row r="595" spans="11:11" x14ac:dyDescent="0.45">
      <c r="K595">
        <v>976.05572432382837</v>
      </c>
    </row>
    <row r="596" spans="11:11" x14ac:dyDescent="0.45">
      <c r="K596">
        <v>780.74956450559671</v>
      </c>
    </row>
    <row r="597" spans="11:11" x14ac:dyDescent="0.45">
      <c r="K597">
        <v>843.31569805429581</v>
      </c>
    </row>
    <row r="598" spans="11:11" x14ac:dyDescent="0.45">
      <c r="K598">
        <v>906.17150066576744</v>
      </c>
    </row>
    <row r="599" spans="11:11" x14ac:dyDescent="0.45">
      <c r="K599">
        <v>1221.9166773737447</v>
      </c>
    </row>
    <row r="600" spans="11:11" x14ac:dyDescent="0.45">
      <c r="K600">
        <v>1274.6938637100668</v>
      </c>
    </row>
    <row r="601" spans="11:11" x14ac:dyDescent="0.45">
      <c r="K601">
        <v>967.87168844020925</v>
      </c>
    </row>
    <row r="602" spans="11:11" x14ac:dyDescent="0.45">
      <c r="K602">
        <v>734.11535488878053</v>
      </c>
    </row>
    <row r="603" spans="11:11" x14ac:dyDescent="0.45">
      <c r="K603">
        <v>1235.6410209156797</v>
      </c>
    </row>
    <row r="604" spans="11:11" x14ac:dyDescent="0.45">
      <c r="K604">
        <v>763.35407233953447</v>
      </c>
    </row>
    <row r="605" spans="11:11" x14ac:dyDescent="0.45">
      <c r="K605">
        <v>1431.9283937183463</v>
      </c>
    </row>
    <row r="606" spans="11:11" x14ac:dyDescent="0.45">
      <c r="K606">
        <v>1452.5618631288394</v>
      </c>
    </row>
    <row r="607" spans="11:11" x14ac:dyDescent="0.45">
      <c r="K607">
        <v>1259.8240601865641</v>
      </c>
    </row>
    <row r="608" spans="11:11" x14ac:dyDescent="0.45">
      <c r="K608">
        <v>1041.429074145829</v>
      </c>
    </row>
    <row r="609" spans="11:11" x14ac:dyDescent="0.45">
      <c r="K609">
        <v>1519.0560671515786</v>
      </c>
    </row>
    <row r="610" spans="11:11" x14ac:dyDescent="0.45">
      <c r="K610">
        <v>808.02295121938266</v>
      </c>
    </row>
    <row r="611" spans="11:11" x14ac:dyDescent="0.45">
      <c r="K611">
        <v>1057.828950386664</v>
      </c>
    </row>
    <row r="612" spans="11:11" x14ac:dyDescent="0.45">
      <c r="K612">
        <v>1118.7135066037654</v>
      </c>
    </row>
    <row r="613" spans="11:11" x14ac:dyDescent="0.45">
      <c r="K613">
        <v>1324.5200744376361</v>
      </c>
    </row>
    <row r="614" spans="11:11" x14ac:dyDescent="0.45">
      <c r="K614">
        <v>990.0467779228843</v>
      </c>
    </row>
    <row r="615" spans="11:11" x14ac:dyDescent="0.45">
      <c r="K615">
        <v>1145.4327794701655</v>
      </c>
    </row>
    <row r="616" spans="11:11" x14ac:dyDescent="0.45">
      <c r="K616">
        <v>1061.2890306610752</v>
      </c>
    </row>
    <row r="617" spans="11:11" x14ac:dyDescent="0.45">
      <c r="K617">
        <v>888.85897259443311</v>
      </c>
    </row>
    <row r="618" spans="11:11" x14ac:dyDescent="0.45">
      <c r="K618">
        <v>825.84144715379614</v>
      </c>
    </row>
    <row r="619" spans="11:11" x14ac:dyDescent="0.45">
      <c r="K619">
        <v>1050.5718802719457</v>
      </c>
    </row>
    <row r="620" spans="11:11" x14ac:dyDescent="0.45">
      <c r="K620">
        <v>927.21831950083083</v>
      </c>
    </row>
    <row r="621" spans="11:11" x14ac:dyDescent="0.45">
      <c r="K621">
        <v>757.79189806361092</v>
      </c>
    </row>
    <row r="622" spans="11:11" x14ac:dyDescent="0.45">
      <c r="K622">
        <v>1087.4676934670283</v>
      </c>
    </row>
    <row r="623" spans="11:11" x14ac:dyDescent="0.45">
      <c r="K623">
        <v>1016.8699493046565</v>
      </c>
    </row>
    <row r="624" spans="11:11" x14ac:dyDescent="0.45">
      <c r="K624">
        <v>930.2656077337524</v>
      </c>
    </row>
    <row r="625" spans="11:11" x14ac:dyDescent="0.45">
      <c r="K625">
        <v>714.38503437695704</v>
      </c>
    </row>
    <row r="626" spans="11:11" x14ac:dyDescent="0.45">
      <c r="K626">
        <v>1132.4912075750765</v>
      </c>
    </row>
    <row r="627" spans="11:11" x14ac:dyDescent="0.45">
      <c r="K627">
        <v>1107.9562937176222</v>
      </c>
    </row>
    <row r="628" spans="11:11" x14ac:dyDescent="0.45">
      <c r="K628">
        <v>1069.3180101452365</v>
      </c>
    </row>
    <row r="629" spans="11:11" x14ac:dyDescent="0.45">
      <c r="K629">
        <v>1247.4686380758062</v>
      </c>
    </row>
    <row r="630" spans="11:11" x14ac:dyDescent="0.45">
      <c r="K630">
        <v>1120.5639635028899</v>
      </c>
    </row>
    <row r="631" spans="11:11" x14ac:dyDescent="0.45">
      <c r="K631">
        <v>1455.4864674120192</v>
      </c>
    </row>
    <row r="632" spans="11:11" x14ac:dyDescent="0.45">
      <c r="K632">
        <v>828.4005461326783</v>
      </c>
    </row>
    <row r="633" spans="11:11" x14ac:dyDescent="0.45">
      <c r="K633">
        <v>757.74553795629356</v>
      </c>
    </row>
    <row r="634" spans="11:11" x14ac:dyDescent="0.45">
      <c r="K634">
        <v>1170.1590874664926</v>
      </c>
    </row>
    <row r="635" spans="11:11" x14ac:dyDescent="0.45">
      <c r="K635">
        <v>1180.5777261794758</v>
      </c>
    </row>
    <row r="636" spans="11:11" x14ac:dyDescent="0.45">
      <c r="K636">
        <v>1374.6361379709294</v>
      </c>
    </row>
    <row r="637" spans="11:11" x14ac:dyDescent="0.45">
      <c r="K637">
        <v>774.81604229953405</v>
      </c>
    </row>
    <row r="638" spans="11:11" x14ac:dyDescent="0.45">
      <c r="K638">
        <v>1197.0717551111838</v>
      </c>
    </row>
    <row r="639" spans="11:11" x14ac:dyDescent="0.45">
      <c r="K639">
        <v>960.73928189239348</v>
      </c>
    </row>
    <row r="640" spans="11:11" x14ac:dyDescent="0.45">
      <c r="K640">
        <v>1234.7873594493735</v>
      </c>
    </row>
    <row r="641" spans="11:11" x14ac:dyDescent="0.45">
      <c r="K641">
        <v>934.32854405420744</v>
      </c>
    </row>
    <row r="642" spans="11:11" x14ac:dyDescent="0.45">
      <c r="K642">
        <v>1179.5023934551919</v>
      </c>
    </row>
    <row r="643" spans="11:11" x14ac:dyDescent="0.45">
      <c r="K643">
        <v>1519.7181339118833</v>
      </c>
    </row>
    <row r="644" spans="11:11" x14ac:dyDescent="0.45">
      <c r="K644">
        <v>957.77719218235711</v>
      </c>
    </row>
    <row r="645" spans="11:11" x14ac:dyDescent="0.45">
      <c r="K645">
        <v>769.72842628199351</v>
      </c>
    </row>
    <row r="646" spans="11:11" x14ac:dyDescent="0.45">
      <c r="K646">
        <v>1002.7913778089539</v>
      </c>
    </row>
    <row r="647" spans="11:11" x14ac:dyDescent="0.45">
      <c r="K647">
        <v>1145.9145879377518</v>
      </c>
    </row>
    <row r="648" spans="11:11" x14ac:dyDescent="0.45">
      <c r="K648">
        <v>1259.869641638232</v>
      </c>
    </row>
    <row r="649" spans="11:11" x14ac:dyDescent="0.45">
      <c r="K649">
        <v>1026.8435908112008</v>
      </c>
    </row>
    <row r="650" spans="11:11" x14ac:dyDescent="0.45">
      <c r="K650">
        <v>994.1141714180286</v>
      </c>
    </row>
    <row r="651" spans="11:11" x14ac:dyDescent="0.45">
      <c r="K651">
        <v>1120.9518118355891</v>
      </c>
    </row>
    <row r="652" spans="11:11" x14ac:dyDescent="0.45">
      <c r="K652">
        <v>1156.0667160565779</v>
      </c>
    </row>
    <row r="653" spans="11:11" x14ac:dyDescent="0.45">
      <c r="K653">
        <v>1194.3772854294336</v>
      </c>
    </row>
    <row r="654" spans="11:11" x14ac:dyDescent="0.45">
      <c r="K654">
        <v>1127.6295418276</v>
      </c>
    </row>
    <row r="655" spans="11:11" x14ac:dyDescent="0.45">
      <c r="K655">
        <v>1292.4716361888516</v>
      </c>
    </row>
    <row r="656" spans="11:11" x14ac:dyDescent="0.45">
      <c r="K656">
        <v>1209.1241248017204</v>
      </c>
    </row>
    <row r="657" spans="11:11" x14ac:dyDescent="0.45">
      <c r="K657">
        <v>718.9384370213952</v>
      </c>
    </row>
    <row r="658" spans="11:11" x14ac:dyDescent="0.45">
      <c r="K658">
        <v>1489.3204980610012</v>
      </c>
    </row>
    <row r="659" spans="11:11" x14ac:dyDescent="0.45">
      <c r="K659">
        <v>1244.6861527513558</v>
      </c>
    </row>
    <row r="660" spans="11:11" x14ac:dyDescent="0.45">
      <c r="K660">
        <v>993.9009010586725</v>
      </c>
    </row>
    <row r="661" spans="11:11" x14ac:dyDescent="0.45">
      <c r="K661">
        <v>1325.5074084502646</v>
      </c>
    </row>
    <row r="662" spans="11:11" x14ac:dyDescent="0.45">
      <c r="K662">
        <v>885.85894713141988</v>
      </c>
    </row>
    <row r="663" spans="11:11" x14ac:dyDescent="0.45">
      <c r="K663">
        <v>1085.9525345158049</v>
      </c>
    </row>
    <row r="664" spans="11:11" x14ac:dyDescent="0.45">
      <c r="K664">
        <v>689.98481147972745</v>
      </c>
    </row>
    <row r="665" spans="11:11" x14ac:dyDescent="0.45">
      <c r="K665">
        <v>599.31328399921529</v>
      </c>
    </row>
    <row r="666" spans="11:11" x14ac:dyDescent="0.45">
      <c r="K666">
        <v>1205.3612433928204</v>
      </c>
    </row>
    <row r="667" spans="11:11" x14ac:dyDescent="0.45">
      <c r="K667">
        <v>1325.7158462533982</v>
      </c>
    </row>
    <row r="668" spans="11:11" x14ac:dyDescent="0.45">
      <c r="K668">
        <v>1141.5603643371455</v>
      </c>
    </row>
    <row r="669" spans="11:11" x14ac:dyDescent="0.45">
      <c r="K669">
        <v>1144.6799627484713</v>
      </c>
    </row>
    <row r="670" spans="11:11" x14ac:dyDescent="0.45">
      <c r="K670">
        <v>1135.1276840453229</v>
      </c>
    </row>
    <row r="671" spans="11:11" x14ac:dyDescent="0.45">
      <c r="K671">
        <v>866.93914037464128</v>
      </c>
    </row>
    <row r="672" spans="11:11" x14ac:dyDescent="0.45">
      <c r="K672">
        <v>1116.2247473560626</v>
      </c>
    </row>
    <row r="673" spans="11:11" x14ac:dyDescent="0.45">
      <c r="K673">
        <v>1267.4400479469998</v>
      </c>
    </row>
    <row r="674" spans="11:11" x14ac:dyDescent="0.45">
      <c r="K674">
        <v>1135.1565946977305</v>
      </c>
    </row>
    <row r="675" spans="11:11" x14ac:dyDescent="0.45">
      <c r="K675">
        <v>762.59185661683091</v>
      </c>
    </row>
    <row r="676" spans="11:11" x14ac:dyDescent="0.45">
      <c r="K676">
        <v>842.58057928575761</v>
      </c>
    </row>
    <row r="677" spans="11:11" x14ac:dyDescent="0.45">
      <c r="K677">
        <v>1362.5088522152901</v>
      </c>
    </row>
    <row r="678" spans="11:11" x14ac:dyDescent="0.45">
      <c r="K678">
        <v>936.0939783626917</v>
      </c>
    </row>
    <row r="679" spans="11:11" x14ac:dyDescent="0.45">
      <c r="K679">
        <v>1279.7707687823315</v>
      </c>
    </row>
    <row r="680" spans="11:11" x14ac:dyDescent="0.45">
      <c r="K680">
        <v>1150.8696062451061</v>
      </c>
    </row>
    <row r="681" spans="11:11" x14ac:dyDescent="0.45">
      <c r="K681">
        <v>1496.5816385896646</v>
      </c>
    </row>
    <row r="682" spans="11:11" x14ac:dyDescent="0.45">
      <c r="K682">
        <v>1044.6924937203783</v>
      </c>
    </row>
    <row r="683" spans="11:11" x14ac:dyDescent="0.45">
      <c r="K683">
        <v>1019.4867682208749</v>
      </c>
    </row>
    <row r="684" spans="11:11" x14ac:dyDescent="0.45">
      <c r="K684">
        <v>1130.1551135052334</v>
      </c>
    </row>
    <row r="685" spans="11:11" x14ac:dyDescent="0.45">
      <c r="K685">
        <v>952.14886398708779</v>
      </c>
    </row>
    <row r="686" spans="11:11" x14ac:dyDescent="0.45">
      <c r="K686">
        <v>1068.45390689034</v>
      </c>
    </row>
    <row r="687" spans="11:11" x14ac:dyDescent="0.45">
      <c r="K687">
        <v>1354.0895437437314</v>
      </c>
    </row>
    <row r="688" spans="11:11" x14ac:dyDescent="0.45">
      <c r="K688">
        <v>1110.6724659883671</v>
      </c>
    </row>
    <row r="689" spans="11:11" x14ac:dyDescent="0.45">
      <c r="K689">
        <v>1007.7346443135243</v>
      </c>
    </row>
    <row r="690" spans="11:11" x14ac:dyDescent="0.45">
      <c r="K690">
        <v>1243.681819057507</v>
      </c>
    </row>
    <row r="691" spans="11:11" x14ac:dyDescent="0.45">
      <c r="K691">
        <v>967.68501725856561</v>
      </c>
    </row>
    <row r="692" spans="11:11" x14ac:dyDescent="0.45">
      <c r="K692">
        <v>1410.620614961761</v>
      </c>
    </row>
    <row r="693" spans="11:11" x14ac:dyDescent="0.45">
      <c r="K693">
        <v>1116.0506388840345</v>
      </c>
    </row>
    <row r="694" spans="11:11" x14ac:dyDescent="0.45">
      <c r="K694">
        <v>1190.4977174111646</v>
      </c>
    </row>
    <row r="695" spans="11:11" x14ac:dyDescent="0.45">
      <c r="K695">
        <v>1602.6053356719217</v>
      </c>
    </row>
    <row r="696" spans="11:11" x14ac:dyDescent="0.45">
      <c r="K696">
        <v>1235.9626112993947</v>
      </c>
    </row>
    <row r="697" spans="11:11" x14ac:dyDescent="0.45">
      <c r="K697">
        <v>805.95133655379118</v>
      </c>
    </row>
    <row r="698" spans="11:11" x14ac:dyDescent="0.45">
      <c r="K698">
        <v>1079.3616000901939</v>
      </c>
    </row>
    <row r="699" spans="11:11" x14ac:dyDescent="0.45">
      <c r="K699">
        <v>861.35773154551998</v>
      </c>
    </row>
    <row r="700" spans="11:11" x14ac:dyDescent="0.45">
      <c r="K700">
        <v>1193.8840244533556</v>
      </c>
    </row>
    <row r="701" spans="11:11" x14ac:dyDescent="0.45">
      <c r="K701">
        <v>810.80592873573391</v>
      </c>
    </row>
    <row r="702" spans="11:11" x14ac:dyDescent="0.45">
      <c r="K702">
        <v>1044.8660211514518</v>
      </c>
    </row>
    <row r="703" spans="11:11" x14ac:dyDescent="0.45">
      <c r="K703">
        <v>1166.4727911215443</v>
      </c>
    </row>
    <row r="704" spans="11:11" x14ac:dyDescent="0.45">
      <c r="K704">
        <v>742.37853275784607</v>
      </c>
    </row>
    <row r="705" spans="11:11" x14ac:dyDescent="0.45">
      <c r="K705">
        <v>1229.7530669156547</v>
      </c>
    </row>
    <row r="706" spans="11:11" x14ac:dyDescent="0.45">
      <c r="K706">
        <v>1596.1589291245891</v>
      </c>
    </row>
    <row r="707" spans="11:11" x14ac:dyDescent="0.45">
      <c r="K707">
        <v>694.12354866242435</v>
      </c>
    </row>
    <row r="708" spans="11:11" x14ac:dyDescent="0.45">
      <c r="K708">
        <v>1210.2533257955165</v>
      </c>
    </row>
    <row r="709" spans="11:11" x14ac:dyDescent="0.45">
      <c r="K709">
        <v>1159.4774122763351</v>
      </c>
    </row>
    <row r="710" spans="11:11" x14ac:dyDescent="0.45">
      <c r="K710">
        <v>1177.3662480819828</v>
      </c>
    </row>
    <row r="711" spans="11:11" x14ac:dyDescent="0.45">
      <c r="K711">
        <v>1264.2296316492655</v>
      </c>
    </row>
    <row r="712" spans="11:11" x14ac:dyDescent="0.45">
      <c r="K712">
        <v>962.82939471301404</v>
      </c>
    </row>
    <row r="713" spans="11:11" x14ac:dyDescent="0.45">
      <c r="K713">
        <v>1046.370533236824</v>
      </c>
    </row>
    <row r="714" spans="11:11" x14ac:dyDescent="0.45">
      <c r="K714">
        <v>1185.6495128336148</v>
      </c>
    </row>
    <row r="715" spans="11:11" x14ac:dyDescent="0.45">
      <c r="K715">
        <v>856.40422269941189</v>
      </c>
    </row>
    <row r="716" spans="11:11" x14ac:dyDescent="0.45">
      <c r="K716">
        <v>958.57384446417552</v>
      </c>
    </row>
    <row r="717" spans="11:11" x14ac:dyDescent="0.45">
      <c r="K717">
        <v>1212.4972303921636</v>
      </c>
    </row>
    <row r="718" spans="11:11" x14ac:dyDescent="0.45">
      <c r="K718">
        <v>1377.2985472434179</v>
      </c>
    </row>
    <row r="719" spans="11:11" x14ac:dyDescent="0.45">
      <c r="K719">
        <v>923.28075385499847</v>
      </c>
    </row>
    <row r="720" spans="11:11" x14ac:dyDescent="0.45">
      <c r="K720">
        <v>933.95196486194993</v>
      </c>
    </row>
    <row r="721" spans="11:11" x14ac:dyDescent="0.45">
      <c r="K721">
        <v>932.01235163533465</v>
      </c>
    </row>
    <row r="722" spans="11:11" x14ac:dyDescent="0.45">
      <c r="K722">
        <v>749.62287839301757</v>
      </c>
    </row>
    <row r="723" spans="11:11" x14ac:dyDescent="0.45">
      <c r="K723">
        <v>1221.4572435837417</v>
      </c>
    </row>
    <row r="724" spans="11:11" x14ac:dyDescent="0.45">
      <c r="K724">
        <v>895.77846612116605</v>
      </c>
    </row>
    <row r="725" spans="11:11" x14ac:dyDescent="0.45">
      <c r="K725">
        <v>1282.5012813673727</v>
      </c>
    </row>
    <row r="726" spans="11:11" x14ac:dyDescent="0.45">
      <c r="K726">
        <v>1342.0172530939719</v>
      </c>
    </row>
    <row r="727" spans="11:11" x14ac:dyDescent="0.45">
      <c r="K727">
        <v>1306.4450846077877</v>
      </c>
    </row>
    <row r="728" spans="11:11" x14ac:dyDescent="0.45">
      <c r="K728">
        <v>1373.4669117516828</v>
      </c>
    </row>
    <row r="729" spans="11:11" x14ac:dyDescent="0.45">
      <c r="K729">
        <v>992.60596344060161</v>
      </c>
    </row>
    <row r="730" spans="11:11" x14ac:dyDescent="0.45">
      <c r="K730">
        <v>995.07862243951479</v>
      </c>
    </row>
    <row r="731" spans="11:11" x14ac:dyDescent="0.45">
      <c r="K731">
        <v>935.97240075881871</v>
      </c>
    </row>
    <row r="732" spans="11:11" x14ac:dyDescent="0.45">
      <c r="K732">
        <v>1202.7906484753958</v>
      </c>
    </row>
    <row r="733" spans="11:11" x14ac:dyDescent="0.45">
      <c r="K733">
        <v>1007.404846369468</v>
      </c>
    </row>
    <row r="734" spans="11:11" x14ac:dyDescent="0.45">
      <c r="K734">
        <v>727.26199129851943</v>
      </c>
    </row>
    <row r="735" spans="11:11" x14ac:dyDescent="0.45">
      <c r="K735">
        <v>868.54612849201646</v>
      </c>
    </row>
    <row r="736" spans="11:11" x14ac:dyDescent="0.45">
      <c r="K736">
        <v>1182.9710376980006</v>
      </c>
    </row>
    <row r="737" spans="11:11" x14ac:dyDescent="0.45">
      <c r="K737">
        <v>925.49271904071998</v>
      </c>
    </row>
    <row r="738" spans="11:11" x14ac:dyDescent="0.45">
      <c r="K738">
        <v>1226.4913276276379</v>
      </c>
    </row>
    <row r="739" spans="11:11" x14ac:dyDescent="0.45">
      <c r="K739">
        <v>1084.6205536959105</v>
      </c>
    </row>
    <row r="740" spans="11:11" x14ac:dyDescent="0.45">
      <c r="K740">
        <v>1289.6986075439434</v>
      </c>
    </row>
    <row r="741" spans="11:11" x14ac:dyDescent="0.45">
      <c r="K741">
        <v>1167.1693634134142</v>
      </c>
    </row>
    <row r="742" spans="11:11" x14ac:dyDescent="0.45">
      <c r="K742">
        <v>788.71237148429009</v>
      </c>
    </row>
    <row r="743" spans="11:11" x14ac:dyDescent="0.45">
      <c r="K743">
        <v>1158.5673074131312</v>
      </c>
    </row>
    <row r="744" spans="11:11" x14ac:dyDescent="0.45">
      <c r="K744">
        <v>929.15376426000137</v>
      </c>
    </row>
    <row r="745" spans="11:11" x14ac:dyDescent="0.45">
      <c r="K745">
        <v>1127.3662920080367</v>
      </c>
    </row>
    <row r="746" spans="11:11" x14ac:dyDescent="0.45">
      <c r="K746">
        <v>1384.9979122579141</v>
      </c>
    </row>
    <row r="747" spans="11:11" x14ac:dyDescent="0.45">
      <c r="K747">
        <v>822.51914949945888</v>
      </c>
    </row>
    <row r="748" spans="11:11" x14ac:dyDescent="0.45">
      <c r="K748">
        <v>1221.308976660933</v>
      </c>
    </row>
    <row r="749" spans="11:11" x14ac:dyDescent="0.45">
      <c r="K749">
        <v>938.29362431285449</v>
      </c>
    </row>
    <row r="750" spans="11:11" x14ac:dyDescent="0.45">
      <c r="K750">
        <v>1408.6879296457487</v>
      </c>
    </row>
    <row r="751" spans="11:11" x14ac:dyDescent="0.45">
      <c r="K751">
        <v>757.72576862899518</v>
      </c>
    </row>
    <row r="752" spans="11:11" x14ac:dyDescent="0.45">
      <c r="K752">
        <v>1088.2877995502699</v>
      </c>
    </row>
    <row r="753" spans="11:11" x14ac:dyDescent="0.45">
      <c r="K753">
        <v>1219.8800424593423</v>
      </c>
    </row>
    <row r="754" spans="11:11" x14ac:dyDescent="0.45">
      <c r="K754">
        <v>896.07456797190503</v>
      </c>
    </row>
    <row r="755" spans="11:11" x14ac:dyDescent="0.45">
      <c r="K755">
        <v>913.46300374178452</v>
      </c>
    </row>
    <row r="756" spans="11:11" x14ac:dyDescent="0.45">
      <c r="K756">
        <v>1178.383498978902</v>
      </c>
    </row>
    <row r="757" spans="11:11" x14ac:dyDescent="0.45">
      <c r="K757">
        <v>1144.7786160473941</v>
      </c>
    </row>
    <row r="758" spans="11:11" x14ac:dyDescent="0.45">
      <c r="K758">
        <v>1288.362047373804</v>
      </c>
    </row>
    <row r="759" spans="11:11" x14ac:dyDescent="0.45">
      <c r="K759">
        <v>1047.8598796969195</v>
      </c>
    </row>
    <row r="760" spans="11:11" x14ac:dyDescent="0.45">
      <c r="K760">
        <v>1265.8946689651953</v>
      </c>
    </row>
    <row r="761" spans="11:11" x14ac:dyDescent="0.45">
      <c r="K761">
        <v>649.42377663984871</v>
      </c>
    </row>
    <row r="762" spans="11:11" x14ac:dyDescent="0.45">
      <c r="K762">
        <v>1037.7441812305026</v>
      </c>
    </row>
    <row r="763" spans="11:11" x14ac:dyDescent="0.45">
      <c r="K763">
        <v>917.08213607470577</v>
      </c>
    </row>
    <row r="764" spans="11:11" x14ac:dyDescent="0.45">
      <c r="K764">
        <v>1071.3604308912402</v>
      </c>
    </row>
    <row r="765" spans="11:11" x14ac:dyDescent="0.45">
      <c r="K765">
        <v>999.97342275993253</v>
      </c>
    </row>
    <row r="766" spans="11:11" x14ac:dyDescent="0.45">
      <c r="K766">
        <v>820.23273132960617</v>
      </c>
    </row>
    <row r="767" spans="11:11" x14ac:dyDescent="0.45">
      <c r="K767">
        <v>1224.3287373405303</v>
      </c>
    </row>
    <row r="768" spans="11:11" x14ac:dyDescent="0.45">
      <c r="K768">
        <v>1173.7026045488119</v>
      </c>
    </row>
    <row r="769" spans="11:11" x14ac:dyDescent="0.45">
      <c r="K769">
        <v>864.34298008962173</v>
      </c>
    </row>
    <row r="770" spans="11:11" x14ac:dyDescent="0.45">
      <c r="K770">
        <v>1119.7979567258078</v>
      </c>
    </row>
    <row r="771" spans="11:11" x14ac:dyDescent="0.45">
      <c r="K771">
        <v>904.46661765329918</v>
      </c>
    </row>
    <row r="772" spans="11:11" x14ac:dyDescent="0.45">
      <c r="K772">
        <v>1221.7043969542408</v>
      </c>
    </row>
    <row r="773" spans="11:11" x14ac:dyDescent="0.45">
      <c r="K773">
        <v>1371.4809603816864</v>
      </c>
    </row>
    <row r="774" spans="11:11" x14ac:dyDescent="0.45">
      <c r="K774">
        <v>1003.3866237936797</v>
      </c>
    </row>
    <row r="775" spans="11:11" x14ac:dyDescent="0.45">
      <c r="K775">
        <v>1146.5654732341638</v>
      </c>
    </row>
    <row r="776" spans="11:11" x14ac:dyDescent="0.45">
      <c r="K776">
        <v>554.12842479984988</v>
      </c>
    </row>
    <row r="777" spans="11:11" x14ac:dyDescent="0.45">
      <c r="K777">
        <v>1179.6644845049957</v>
      </c>
    </row>
    <row r="778" spans="11:11" x14ac:dyDescent="0.45">
      <c r="K778">
        <v>712.42862937288965</v>
      </c>
    </row>
    <row r="779" spans="11:11" x14ac:dyDescent="0.45">
      <c r="K779">
        <v>837.00498353906914</v>
      </c>
    </row>
    <row r="780" spans="11:11" x14ac:dyDescent="0.45">
      <c r="K780">
        <v>1057.6778759454141</v>
      </c>
    </row>
    <row r="781" spans="11:11" x14ac:dyDescent="0.45">
      <c r="K781">
        <v>1116.6212855530582</v>
      </c>
    </row>
    <row r="782" spans="11:11" x14ac:dyDescent="0.45">
      <c r="K782">
        <v>1105.8146215972956</v>
      </c>
    </row>
    <row r="783" spans="11:11" x14ac:dyDescent="0.45">
      <c r="K783">
        <v>1125.446986628305</v>
      </c>
    </row>
    <row r="784" spans="11:11" x14ac:dyDescent="0.45">
      <c r="K784">
        <v>964.71164139445989</v>
      </c>
    </row>
    <row r="785" spans="11:11" x14ac:dyDescent="0.45">
      <c r="K785">
        <v>1159.1958729166433</v>
      </c>
    </row>
    <row r="786" spans="11:11" x14ac:dyDescent="0.45">
      <c r="K786">
        <v>1198.862578649318</v>
      </c>
    </row>
    <row r="787" spans="11:11" x14ac:dyDescent="0.45">
      <c r="K787">
        <v>1382.410596003939</v>
      </c>
    </row>
    <row r="788" spans="11:11" x14ac:dyDescent="0.45">
      <c r="K788">
        <v>934.07460857105286</v>
      </c>
    </row>
    <row r="789" spans="11:11" x14ac:dyDescent="0.45">
      <c r="K789">
        <v>808.10061486605571</v>
      </c>
    </row>
    <row r="790" spans="11:11" x14ac:dyDescent="0.45">
      <c r="K790">
        <v>975.44671689504901</v>
      </c>
    </row>
    <row r="791" spans="11:11" x14ac:dyDescent="0.45">
      <c r="K791">
        <v>1008.6949870566168</v>
      </c>
    </row>
    <row r="792" spans="11:11" x14ac:dyDescent="0.45">
      <c r="K792">
        <v>991.16867050203541</v>
      </c>
    </row>
    <row r="793" spans="11:11" x14ac:dyDescent="0.45">
      <c r="K793">
        <v>761.86684417696415</v>
      </c>
    </row>
    <row r="794" spans="11:11" x14ac:dyDescent="0.45">
      <c r="K794">
        <v>873.1676751340151</v>
      </c>
    </row>
    <row r="795" spans="11:11" x14ac:dyDescent="0.45">
      <c r="K795">
        <v>1125.4263588613021</v>
      </c>
    </row>
    <row r="796" spans="11:11" x14ac:dyDescent="0.45">
      <c r="K796">
        <v>1024.223797927561</v>
      </c>
    </row>
    <row r="797" spans="11:11" x14ac:dyDescent="0.45">
      <c r="K797">
        <v>763.22637852709602</v>
      </c>
    </row>
    <row r="798" spans="11:11" x14ac:dyDescent="0.45">
      <c r="K798">
        <v>1063.8481031087497</v>
      </c>
    </row>
    <row r="799" spans="11:11" x14ac:dyDescent="0.45">
      <c r="K799">
        <v>1057.2019244631197</v>
      </c>
    </row>
    <row r="800" spans="11:11" x14ac:dyDescent="0.45">
      <c r="K800">
        <v>965.2483930026342</v>
      </c>
    </row>
    <row r="801" spans="11:11" x14ac:dyDescent="0.45">
      <c r="K801">
        <v>1280.8429466198297</v>
      </c>
    </row>
    <row r="802" spans="11:11" x14ac:dyDescent="0.45">
      <c r="K802">
        <v>728.5881178910056</v>
      </c>
    </row>
    <row r="803" spans="11:11" x14ac:dyDescent="0.45">
      <c r="K803">
        <v>1109.5539312829867</v>
      </c>
    </row>
    <row r="804" spans="11:11" x14ac:dyDescent="0.45">
      <c r="K804">
        <v>1322.2052368040154</v>
      </c>
    </row>
    <row r="805" spans="11:11" x14ac:dyDescent="0.45">
      <c r="K805">
        <v>1003.0001705299219</v>
      </c>
    </row>
    <row r="806" spans="11:11" x14ac:dyDescent="0.45">
      <c r="K806">
        <v>1146.2333627823728</v>
      </c>
    </row>
    <row r="807" spans="11:11" x14ac:dyDescent="0.45">
      <c r="K807">
        <v>1223.5108853251245</v>
      </c>
    </row>
    <row r="808" spans="11:11" x14ac:dyDescent="0.45">
      <c r="K808">
        <v>1226.346500822872</v>
      </c>
    </row>
    <row r="809" spans="11:11" x14ac:dyDescent="0.45">
      <c r="K809">
        <v>1045.2496728128776</v>
      </c>
    </row>
    <row r="810" spans="11:11" x14ac:dyDescent="0.45">
      <c r="K810">
        <v>1471.8759480826923</v>
      </c>
    </row>
    <row r="811" spans="11:11" x14ac:dyDescent="0.45">
      <c r="K811">
        <v>1096.3983538467492</v>
      </c>
    </row>
    <row r="812" spans="11:11" x14ac:dyDescent="0.45">
      <c r="K812">
        <v>1088.2731460536747</v>
      </c>
    </row>
    <row r="813" spans="11:11" x14ac:dyDescent="0.45">
      <c r="K813">
        <v>1188.8822972338792</v>
      </c>
    </row>
    <row r="814" spans="11:11" x14ac:dyDescent="0.45">
      <c r="K814">
        <v>799.05357067060856</v>
      </c>
    </row>
    <row r="815" spans="11:11" x14ac:dyDescent="0.45">
      <c r="K815">
        <v>834.57494914426422</v>
      </c>
    </row>
    <row r="816" spans="11:11" x14ac:dyDescent="0.45">
      <c r="K816">
        <v>956.04358993818414</v>
      </c>
    </row>
    <row r="817" spans="11:11" x14ac:dyDescent="0.45">
      <c r="K817">
        <v>1133.2409514550545</v>
      </c>
    </row>
    <row r="818" spans="11:11" x14ac:dyDescent="0.45">
      <c r="K818">
        <v>926.44029538170298</v>
      </c>
    </row>
    <row r="819" spans="11:11" x14ac:dyDescent="0.45">
      <c r="K819">
        <v>955.48487403806905</v>
      </c>
    </row>
    <row r="820" spans="11:11" x14ac:dyDescent="0.45">
      <c r="K820">
        <v>1059.2716200785167</v>
      </c>
    </row>
    <row r="821" spans="11:11" x14ac:dyDescent="0.45">
      <c r="K821">
        <v>1035.8380281085676</v>
      </c>
    </row>
    <row r="822" spans="11:11" x14ac:dyDescent="0.45">
      <c r="K822">
        <v>1244.1615330926923</v>
      </c>
    </row>
    <row r="823" spans="11:11" x14ac:dyDescent="0.45">
      <c r="K823">
        <v>1078.8432747238278</v>
      </c>
    </row>
    <row r="824" spans="11:11" x14ac:dyDescent="0.45">
      <c r="K824">
        <v>1110.8289576034306</v>
      </c>
    </row>
    <row r="825" spans="11:11" x14ac:dyDescent="0.45">
      <c r="K825">
        <v>996.94686752883058</v>
      </c>
    </row>
    <row r="826" spans="11:11" x14ac:dyDescent="0.45">
      <c r="K826">
        <v>825.92897379196063</v>
      </c>
    </row>
    <row r="827" spans="11:11" x14ac:dyDescent="0.45">
      <c r="K827">
        <v>972.77056956009278</v>
      </c>
    </row>
    <row r="828" spans="11:11" x14ac:dyDescent="0.45">
      <c r="K828">
        <v>1000.1958101827577</v>
      </c>
    </row>
    <row r="829" spans="11:11" x14ac:dyDescent="0.45">
      <c r="K829">
        <v>856.73675785707758</v>
      </c>
    </row>
    <row r="830" spans="11:11" x14ac:dyDescent="0.45">
      <c r="K830">
        <v>1005.3638628771932</v>
      </c>
    </row>
    <row r="831" spans="11:11" x14ac:dyDescent="0.45">
      <c r="K831">
        <v>1174.5296650799985</v>
      </c>
    </row>
    <row r="832" spans="11:11" x14ac:dyDescent="0.45">
      <c r="K832">
        <v>1004.1814541883568</v>
      </c>
    </row>
    <row r="833" spans="11:11" x14ac:dyDescent="0.45">
      <c r="K833">
        <v>768.70471518723025</v>
      </c>
    </row>
    <row r="834" spans="11:11" x14ac:dyDescent="0.45">
      <c r="K834">
        <v>978.66633730937622</v>
      </c>
    </row>
    <row r="835" spans="11:11" x14ac:dyDescent="0.45">
      <c r="K835">
        <v>1086.1354428784186</v>
      </c>
    </row>
    <row r="836" spans="11:11" x14ac:dyDescent="0.45">
      <c r="K836">
        <v>1436.8163613272934</v>
      </c>
    </row>
    <row r="837" spans="11:11" x14ac:dyDescent="0.45">
      <c r="K837">
        <v>1123.2590960186787</v>
      </c>
    </row>
    <row r="838" spans="11:11" x14ac:dyDescent="0.45">
      <c r="K838">
        <v>1048.5364174806516</v>
      </c>
    </row>
    <row r="839" spans="11:11" x14ac:dyDescent="0.45">
      <c r="K839">
        <v>1133.8150449427869</v>
      </c>
    </row>
    <row r="840" spans="11:11" x14ac:dyDescent="0.45">
      <c r="K840">
        <v>882.1570318922395</v>
      </c>
    </row>
    <row r="841" spans="11:11" x14ac:dyDescent="0.45">
      <c r="K841">
        <v>1175.3314756201478</v>
      </c>
    </row>
    <row r="842" spans="11:11" x14ac:dyDescent="0.45">
      <c r="K842">
        <v>1065.0632973229276</v>
      </c>
    </row>
    <row r="843" spans="11:11" x14ac:dyDescent="0.45">
      <c r="K843">
        <v>982.89305379326572</v>
      </c>
    </row>
    <row r="844" spans="11:11" x14ac:dyDescent="0.45">
      <c r="K844">
        <v>1325.2334880147318</v>
      </c>
    </row>
    <row r="845" spans="11:11" x14ac:dyDescent="0.45">
      <c r="K845">
        <v>1062.0855106236843</v>
      </c>
    </row>
    <row r="846" spans="11:11" x14ac:dyDescent="0.45">
      <c r="K846">
        <v>945.40434833788402</v>
      </c>
    </row>
    <row r="847" spans="11:11" x14ac:dyDescent="0.45">
      <c r="K847">
        <v>710.35371368611914</v>
      </c>
    </row>
    <row r="848" spans="11:11" x14ac:dyDescent="0.45">
      <c r="K848">
        <v>1247.1747970371512</v>
      </c>
    </row>
    <row r="849" spans="11:11" x14ac:dyDescent="0.45">
      <c r="K849">
        <v>1171.9088085139558</v>
      </c>
    </row>
    <row r="850" spans="11:11" x14ac:dyDescent="0.45">
      <c r="K850">
        <v>1016.7941117432581</v>
      </c>
    </row>
    <row r="851" spans="11:11" x14ac:dyDescent="0.45">
      <c r="K851">
        <v>923.72108734002029</v>
      </c>
    </row>
    <row r="852" spans="11:11" x14ac:dyDescent="0.45">
      <c r="K852">
        <v>873.94590573475159</v>
      </c>
    </row>
    <row r="853" spans="11:11" x14ac:dyDescent="0.45">
      <c r="K853">
        <v>705.2473421854171</v>
      </c>
    </row>
    <row r="854" spans="11:11" x14ac:dyDescent="0.45">
      <c r="K854">
        <v>1177.2433846187687</v>
      </c>
    </row>
    <row r="855" spans="11:11" x14ac:dyDescent="0.45">
      <c r="K855">
        <v>1097.8138756162534</v>
      </c>
    </row>
    <row r="856" spans="11:11" x14ac:dyDescent="0.45">
      <c r="K856">
        <v>1011.3516475558836</v>
      </c>
    </row>
    <row r="857" spans="11:11" x14ac:dyDescent="0.45">
      <c r="K857">
        <v>1019.5800360367429</v>
      </c>
    </row>
    <row r="858" spans="11:11" x14ac:dyDescent="0.45">
      <c r="K858">
        <v>1278.7658990215471</v>
      </c>
    </row>
    <row r="859" spans="11:11" x14ac:dyDescent="0.45">
      <c r="K859">
        <v>1361.6060084643659</v>
      </c>
    </row>
    <row r="860" spans="11:11" x14ac:dyDescent="0.45">
      <c r="K860">
        <v>803.15601570798162</v>
      </c>
    </row>
    <row r="861" spans="11:11" x14ac:dyDescent="0.45">
      <c r="K861">
        <v>1015.3867776578508</v>
      </c>
    </row>
    <row r="862" spans="11:11" x14ac:dyDescent="0.45">
      <c r="K862">
        <v>776.88227228198912</v>
      </c>
    </row>
    <row r="863" spans="11:11" x14ac:dyDescent="0.45">
      <c r="K863">
        <v>899.73634257635024</v>
      </c>
    </row>
    <row r="864" spans="11:11" x14ac:dyDescent="0.45">
      <c r="K864">
        <v>844.50224164148119</v>
      </c>
    </row>
    <row r="865" spans="11:11" x14ac:dyDescent="0.45">
      <c r="K865">
        <v>1273.6090180858837</v>
      </c>
    </row>
    <row r="866" spans="11:11" x14ac:dyDescent="0.45">
      <c r="K866">
        <v>936.62832104485346</v>
      </c>
    </row>
    <row r="867" spans="11:11" x14ac:dyDescent="0.45">
      <c r="K867">
        <v>813.26804860270568</v>
      </c>
    </row>
    <row r="868" spans="11:11" x14ac:dyDescent="0.45">
      <c r="K868">
        <v>1282.3043446201125</v>
      </c>
    </row>
    <row r="869" spans="11:11" x14ac:dyDescent="0.45">
      <c r="K869">
        <v>992.78748362409158</v>
      </c>
    </row>
    <row r="870" spans="11:11" x14ac:dyDescent="0.45">
      <c r="K870">
        <v>904.13588346598362</v>
      </c>
    </row>
    <row r="871" spans="11:11" x14ac:dyDescent="0.45">
      <c r="K871">
        <v>1023.6985189840168</v>
      </c>
    </row>
    <row r="872" spans="11:11" x14ac:dyDescent="0.45">
      <c r="K872">
        <v>1299.8809419421066</v>
      </c>
    </row>
    <row r="873" spans="11:11" x14ac:dyDescent="0.45">
      <c r="K873">
        <v>1129.5910381851834</v>
      </c>
    </row>
    <row r="874" spans="11:11" x14ac:dyDescent="0.45">
      <c r="K874">
        <v>844.65714692306278</v>
      </c>
    </row>
    <row r="875" spans="11:11" x14ac:dyDescent="0.45">
      <c r="K875">
        <v>1038.8306259821843</v>
      </c>
    </row>
    <row r="876" spans="11:11" x14ac:dyDescent="0.45">
      <c r="K876">
        <v>698.29483383084971</v>
      </c>
    </row>
    <row r="877" spans="11:11" x14ac:dyDescent="0.45">
      <c r="K877">
        <v>1106.7607318405253</v>
      </c>
    </row>
    <row r="878" spans="11:11" x14ac:dyDescent="0.45">
      <c r="K878">
        <v>1263.6569058400273</v>
      </c>
    </row>
    <row r="879" spans="11:11" x14ac:dyDescent="0.45">
      <c r="K879">
        <v>1193.5462093921401</v>
      </c>
    </row>
    <row r="880" spans="11:11" x14ac:dyDescent="0.45">
      <c r="K880">
        <v>797.30400450038451</v>
      </c>
    </row>
    <row r="881" spans="11:11" x14ac:dyDescent="0.45">
      <c r="K881">
        <v>1104.5295567961293</v>
      </c>
    </row>
    <row r="882" spans="11:11" x14ac:dyDescent="0.45">
      <c r="K882">
        <v>963.54695768478825</v>
      </c>
    </row>
    <row r="883" spans="11:11" x14ac:dyDescent="0.45">
      <c r="K883">
        <v>800.91416106491022</v>
      </c>
    </row>
    <row r="884" spans="11:11" x14ac:dyDescent="0.45">
      <c r="K884">
        <v>969.43327882710116</v>
      </c>
    </row>
    <row r="885" spans="11:11" x14ac:dyDescent="0.45">
      <c r="K885">
        <v>801.29187109719112</v>
      </c>
    </row>
    <row r="886" spans="11:11" x14ac:dyDescent="0.45">
      <c r="K886">
        <v>858.4442272270752</v>
      </c>
    </row>
    <row r="887" spans="11:11" x14ac:dyDescent="0.45">
      <c r="K887">
        <v>899.96711320548161</v>
      </c>
    </row>
    <row r="888" spans="11:11" x14ac:dyDescent="0.45">
      <c r="K888">
        <v>1015.1497760978896</v>
      </c>
    </row>
    <row r="889" spans="11:11" x14ac:dyDescent="0.45">
      <c r="K889">
        <v>1226.9865489807362</v>
      </c>
    </row>
    <row r="890" spans="11:11" x14ac:dyDescent="0.45">
      <c r="K890">
        <v>971.95719807178057</v>
      </c>
    </row>
    <row r="891" spans="11:11" x14ac:dyDescent="0.45">
      <c r="K891">
        <v>1089.1515952505729</v>
      </c>
    </row>
    <row r="892" spans="11:11" x14ac:dyDescent="0.45">
      <c r="K892">
        <v>1184.7919350167886</v>
      </c>
    </row>
    <row r="893" spans="11:11" x14ac:dyDescent="0.45">
      <c r="K893">
        <v>1277.3355811066726</v>
      </c>
    </row>
    <row r="894" spans="11:11" x14ac:dyDescent="0.45">
      <c r="K894">
        <v>1062.8224977335597</v>
      </c>
    </row>
    <row r="895" spans="11:11" x14ac:dyDescent="0.45">
      <c r="K895">
        <v>1050.2137386147299</v>
      </c>
    </row>
    <row r="896" spans="11:11" x14ac:dyDescent="0.45">
      <c r="K896">
        <v>793.29008924310676</v>
      </c>
    </row>
    <row r="897" spans="11:11" x14ac:dyDescent="0.45">
      <c r="K897">
        <v>820.34808552859215</v>
      </c>
    </row>
    <row r="898" spans="11:11" x14ac:dyDescent="0.45">
      <c r="K898">
        <v>1306.2455872013052</v>
      </c>
    </row>
    <row r="899" spans="11:11" x14ac:dyDescent="0.45">
      <c r="K899">
        <v>1057.2149137845897</v>
      </c>
    </row>
    <row r="900" spans="11:11" x14ac:dyDescent="0.45">
      <c r="K900">
        <v>1311.7488288200757</v>
      </c>
    </row>
    <row r="901" spans="11:11" x14ac:dyDescent="0.45">
      <c r="K901">
        <v>1014.4840710357771</v>
      </c>
    </row>
    <row r="902" spans="11:11" x14ac:dyDescent="0.45">
      <c r="K902">
        <v>1292.826935905664</v>
      </c>
    </row>
    <row r="903" spans="11:11" x14ac:dyDescent="0.45">
      <c r="K903">
        <v>1106.6557750371667</v>
      </c>
    </row>
    <row r="904" spans="11:11" x14ac:dyDescent="0.45">
      <c r="K904">
        <v>944.71936461749158</v>
      </c>
    </row>
    <row r="905" spans="11:11" x14ac:dyDescent="0.45">
      <c r="K905">
        <v>1172.6021103120352</v>
      </c>
    </row>
    <row r="906" spans="11:11" x14ac:dyDescent="0.45">
      <c r="K906">
        <v>1241.7091961436579</v>
      </c>
    </row>
    <row r="907" spans="11:11" x14ac:dyDescent="0.45">
      <c r="K907">
        <v>705.28284516267615</v>
      </c>
    </row>
    <row r="908" spans="11:11" x14ac:dyDescent="0.45">
      <c r="K908">
        <v>1191.7528967059004</v>
      </c>
    </row>
    <row r="909" spans="11:11" x14ac:dyDescent="0.45">
      <c r="K909">
        <v>1314.1478174292895</v>
      </c>
    </row>
    <row r="910" spans="11:11" x14ac:dyDescent="0.45">
      <c r="K910">
        <v>1393.4111308626971</v>
      </c>
    </row>
    <row r="911" spans="11:11" x14ac:dyDescent="0.45">
      <c r="K911">
        <v>1474.6829423066238</v>
      </c>
    </row>
    <row r="912" spans="11:11" x14ac:dyDescent="0.45">
      <c r="K912">
        <v>649.44106832289276</v>
      </c>
    </row>
    <row r="913" spans="11:11" x14ac:dyDescent="0.45">
      <c r="K913">
        <v>1190.7488528254078</v>
      </c>
    </row>
    <row r="914" spans="11:11" x14ac:dyDescent="0.45">
      <c r="K914">
        <v>1117.4622638702599</v>
      </c>
    </row>
    <row r="915" spans="11:11" x14ac:dyDescent="0.45">
      <c r="K915">
        <v>1213.2994857664924</v>
      </c>
    </row>
    <row r="916" spans="11:11" x14ac:dyDescent="0.45">
      <c r="K916">
        <v>977.3373241269594</v>
      </c>
    </row>
    <row r="917" spans="11:11" x14ac:dyDescent="0.45">
      <c r="K917">
        <v>1045.5033492759867</v>
      </c>
    </row>
    <row r="918" spans="11:11" x14ac:dyDescent="0.45">
      <c r="K918">
        <v>1361.9762820970614</v>
      </c>
    </row>
    <row r="919" spans="11:11" x14ac:dyDescent="0.45">
      <c r="K919">
        <v>912.06961491418349</v>
      </c>
    </row>
    <row r="920" spans="11:11" x14ac:dyDescent="0.45">
      <c r="K920">
        <v>1016.5279345739929</v>
      </c>
    </row>
    <row r="921" spans="11:11" x14ac:dyDescent="0.45">
      <c r="K921">
        <v>974.90152347164042</v>
      </c>
    </row>
    <row r="922" spans="11:11" x14ac:dyDescent="0.45">
      <c r="K922">
        <v>921.80915025806212</v>
      </c>
    </row>
    <row r="923" spans="11:11" x14ac:dyDescent="0.45">
      <c r="K923">
        <v>1094.8021604382575</v>
      </c>
    </row>
    <row r="924" spans="11:11" x14ac:dyDescent="0.45">
      <c r="K924">
        <v>1309.0000216919627</v>
      </c>
    </row>
    <row r="925" spans="11:11" x14ac:dyDescent="0.45">
      <c r="K925">
        <v>1300.5802856082391</v>
      </c>
    </row>
    <row r="926" spans="11:11" x14ac:dyDescent="0.45">
      <c r="K926">
        <v>1024.3357344035185</v>
      </c>
    </row>
    <row r="927" spans="11:11" x14ac:dyDescent="0.45">
      <c r="K927">
        <v>1294.2464808700995</v>
      </c>
    </row>
    <row r="928" spans="11:11" x14ac:dyDescent="0.45">
      <c r="K928">
        <v>1312.0066194630072</v>
      </c>
    </row>
    <row r="929" spans="11:11" x14ac:dyDescent="0.45">
      <c r="K929">
        <v>1035.7806781764389</v>
      </c>
    </row>
    <row r="930" spans="11:11" x14ac:dyDescent="0.45">
      <c r="K930">
        <v>1312.7302647247575</v>
      </c>
    </row>
    <row r="931" spans="11:11" x14ac:dyDescent="0.45">
      <c r="K931">
        <v>962.18584926191738</v>
      </c>
    </row>
    <row r="932" spans="11:11" x14ac:dyDescent="0.45">
      <c r="K932">
        <v>1100.5553504531581</v>
      </c>
    </row>
    <row r="933" spans="11:11" x14ac:dyDescent="0.45">
      <c r="K933">
        <v>1004.9661598372022</v>
      </c>
    </row>
    <row r="934" spans="11:11" x14ac:dyDescent="0.45">
      <c r="K934">
        <v>921.13559832080932</v>
      </c>
    </row>
    <row r="935" spans="11:11" x14ac:dyDescent="0.45">
      <c r="K935">
        <v>727.53510435123872</v>
      </c>
    </row>
    <row r="936" spans="11:11" x14ac:dyDescent="0.45">
      <c r="K936">
        <v>1225.4591973132776</v>
      </c>
    </row>
    <row r="937" spans="11:11" x14ac:dyDescent="0.45">
      <c r="K937">
        <v>1047.4080826139386</v>
      </c>
    </row>
    <row r="938" spans="11:11" x14ac:dyDescent="0.45">
      <c r="K938">
        <v>685.51188561521042</v>
      </c>
    </row>
    <row r="939" spans="11:11" x14ac:dyDescent="0.45">
      <c r="K939">
        <v>1175.1155505377415</v>
      </c>
    </row>
    <row r="940" spans="11:11" x14ac:dyDescent="0.45">
      <c r="K940">
        <v>1178.2081305126071</v>
      </c>
    </row>
    <row r="941" spans="11:11" x14ac:dyDescent="0.45">
      <c r="K941">
        <v>1267.909696613495</v>
      </c>
    </row>
    <row r="942" spans="11:11" x14ac:dyDescent="0.45">
      <c r="K942">
        <v>1063.9649537716371</v>
      </c>
    </row>
    <row r="943" spans="11:11" x14ac:dyDescent="0.45">
      <c r="K943">
        <v>1205.1837388450292</v>
      </c>
    </row>
    <row r="944" spans="11:11" x14ac:dyDescent="0.45">
      <c r="K944">
        <v>1226.069018611154</v>
      </c>
    </row>
    <row r="945" spans="11:11" x14ac:dyDescent="0.45">
      <c r="K945">
        <v>1088.6236047657071</v>
      </c>
    </row>
    <row r="946" spans="11:11" x14ac:dyDescent="0.45">
      <c r="K946">
        <v>791.18651110374935</v>
      </c>
    </row>
    <row r="947" spans="11:11" x14ac:dyDescent="0.45">
      <c r="K947">
        <v>1180.0290712069282</v>
      </c>
    </row>
    <row r="948" spans="11:11" x14ac:dyDescent="0.45">
      <c r="K948">
        <v>1226.5411084319003</v>
      </c>
    </row>
    <row r="949" spans="11:11" x14ac:dyDescent="0.45">
      <c r="K949">
        <v>873.47294707685012</v>
      </c>
    </row>
    <row r="950" spans="11:11" x14ac:dyDescent="0.45">
      <c r="K950">
        <v>1567.8879624531087</v>
      </c>
    </row>
    <row r="951" spans="11:11" x14ac:dyDescent="0.45">
      <c r="K951">
        <v>1535.5561508858641</v>
      </c>
    </row>
    <row r="952" spans="11:11" x14ac:dyDescent="0.45">
      <c r="K952">
        <v>1117.6688091819231</v>
      </c>
    </row>
    <row r="953" spans="11:11" x14ac:dyDescent="0.45">
      <c r="K953">
        <v>891.65244557253504</v>
      </c>
    </row>
    <row r="954" spans="11:11" x14ac:dyDescent="0.45">
      <c r="K954">
        <v>1201.0511974057385</v>
      </c>
    </row>
    <row r="955" spans="11:11" x14ac:dyDescent="0.45">
      <c r="K955">
        <v>942.19657403684789</v>
      </c>
    </row>
    <row r="956" spans="11:11" x14ac:dyDescent="0.45">
      <c r="K956">
        <v>971.19256402170959</v>
      </c>
    </row>
    <row r="957" spans="11:11" x14ac:dyDescent="0.45">
      <c r="K957">
        <v>978.25142545894084</v>
      </c>
    </row>
    <row r="958" spans="11:11" x14ac:dyDescent="0.45">
      <c r="K958">
        <v>1236.4250276867288</v>
      </c>
    </row>
    <row r="959" spans="11:11" x14ac:dyDescent="0.45">
      <c r="K959">
        <v>1002.6216286232074</v>
      </c>
    </row>
    <row r="960" spans="11:11" x14ac:dyDescent="0.45">
      <c r="K960">
        <v>1019.7200911640981</v>
      </c>
    </row>
    <row r="961" spans="11:11" x14ac:dyDescent="0.45">
      <c r="K961">
        <v>991.59831667679032</v>
      </c>
    </row>
    <row r="962" spans="11:11" x14ac:dyDescent="0.45">
      <c r="K962">
        <v>951.06121052195181</v>
      </c>
    </row>
    <row r="963" spans="11:11" x14ac:dyDescent="0.45">
      <c r="K963">
        <v>1323.6282528992961</v>
      </c>
    </row>
    <row r="964" spans="11:11" x14ac:dyDescent="0.45">
      <c r="K964">
        <v>1221.139088841531</v>
      </c>
    </row>
    <row r="965" spans="11:11" x14ac:dyDescent="0.45">
      <c r="K965">
        <v>766.19292643871654</v>
      </c>
    </row>
    <row r="966" spans="11:11" x14ac:dyDescent="0.45">
      <c r="K966">
        <v>986.21533187357102</v>
      </c>
    </row>
    <row r="967" spans="11:11" x14ac:dyDescent="0.45">
      <c r="K967">
        <v>1222.4439744142642</v>
      </c>
    </row>
    <row r="968" spans="11:11" x14ac:dyDescent="0.45">
      <c r="K968">
        <v>1073.0232409300115</v>
      </c>
    </row>
    <row r="969" spans="11:11" x14ac:dyDescent="0.45">
      <c r="K969">
        <v>1067.6379937313404</v>
      </c>
    </row>
    <row r="970" spans="11:11" x14ac:dyDescent="0.45">
      <c r="K970">
        <v>771.41209985461933</v>
      </c>
    </row>
    <row r="971" spans="11:11" x14ac:dyDescent="0.45">
      <c r="K971">
        <v>893.12743496284133</v>
      </c>
    </row>
    <row r="972" spans="11:11" x14ac:dyDescent="0.45">
      <c r="K972">
        <v>912.43268165423081</v>
      </c>
    </row>
    <row r="973" spans="11:11" x14ac:dyDescent="0.45">
      <c r="K973">
        <v>1163.6647438385721</v>
      </c>
    </row>
    <row r="974" spans="11:11" x14ac:dyDescent="0.45">
      <c r="K974">
        <v>1374.5211120774979</v>
      </c>
    </row>
    <row r="975" spans="11:11" x14ac:dyDescent="0.45">
      <c r="K975">
        <v>1093.6578067986086</v>
      </c>
    </row>
    <row r="976" spans="11:11" x14ac:dyDescent="0.45">
      <c r="K976">
        <v>1115.9184076676606</v>
      </c>
    </row>
    <row r="977" spans="11:11" x14ac:dyDescent="0.45">
      <c r="K977">
        <v>1279.558884615494</v>
      </c>
    </row>
    <row r="978" spans="11:11" x14ac:dyDescent="0.45">
      <c r="K978">
        <v>1073.0050642663784</v>
      </c>
    </row>
    <row r="979" spans="11:11" x14ac:dyDescent="0.45">
      <c r="K979">
        <v>996.10162218480934</v>
      </c>
    </row>
    <row r="980" spans="11:11" x14ac:dyDescent="0.45">
      <c r="K980">
        <v>1232.8304195273745</v>
      </c>
    </row>
    <row r="981" spans="11:11" x14ac:dyDescent="0.45">
      <c r="K981">
        <v>1133.5882656422664</v>
      </c>
    </row>
    <row r="982" spans="11:11" x14ac:dyDescent="0.45">
      <c r="K982">
        <v>916.74098843744662</v>
      </c>
    </row>
    <row r="983" spans="11:11" x14ac:dyDescent="0.45">
      <c r="K983">
        <v>863.26623420216686</v>
      </c>
    </row>
    <row r="984" spans="11:11" x14ac:dyDescent="0.45">
      <c r="K984">
        <v>1385.4612836804586</v>
      </c>
    </row>
    <row r="985" spans="11:11" x14ac:dyDescent="0.45">
      <c r="K985">
        <v>1044.7722842266057</v>
      </c>
    </row>
    <row r="986" spans="11:11" x14ac:dyDescent="0.45">
      <c r="K986">
        <v>845.00608310568873</v>
      </c>
    </row>
    <row r="987" spans="11:11" x14ac:dyDescent="0.45">
      <c r="K987">
        <v>922.03152464422976</v>
      </c>
    </row>
    <row r="988" spans="11:11" x14ac:dyDescent="0.45">
      <c r="K988">
        <v>851.37120637336045</v>
      </c>
    </row>
    <row r="989" spans="11:11" x14ac:dyDescent="0.45">
      <c r="K989">
        <v>1093.8263933758369</v>
      </c>
    </row>
    <row r="990" spans="11:11" x14ac:dyDescent="0.45">
      <c r="K990">
        <v>836.82117533479777</v>
      </c>
    </row>
    <row r="991" spans="11:11" x14ac:dyDescent="0.45">
      <c r="K991">
        <v>1160.5100231986228</v>
      </c>
    </row>
    <row r="992" spans="11:11" x14ac:dyDescent="0.45">
      <c r="K992">
        <v>1111.2826604440661</v>
      </c>
    </row>
    <row r="993" spans="11:11" x14ac:dyDescent="0.45">
      <c r="K993">
        <v>890.65907133866506</v>
      </c>
    </row>
    <row r="994" spans="11:11" x14ac:dyDescent="0.45">
      <c r="K994">
        <v>1049.6945203885182</v>
      </c>
    </row>
    <row r="995" spans="11:11" x14ac:dyDescent="0.45">
      <c r="K995">
        <v>828.32773635040621</v>
      </c>
    </row>
    <row r="996" spans="11:11" x14ac:dyDescent="0.45">
      <c r="K996">
        <v>1042.470167042665</v>
      </c>
    </row>
    <row r="997" spans="11:11" x14ac:dyDescent="0.45">
      <c r="K997">
        <v>1162.3766399430845</v>
      </c>
    </row>
    <row r="998" spans="11:11" x14ac:dyDescent="0.45">
      <c r="K998">
        <v>997.71664329277917</v>
      </c>
    </row>
    <row r="999" spans="11:11" x14ac:dyDescent="0.45">
      <c r="K999">
        <v>1096.5778070704246</v>
      </c>
    </row>
    <row r="1000" spans="11:11" x14ac:dyDescent="0.45">
      <c r="K1000">
        <v>1129.8659101660319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B1B5E-A479-4750-9CEA-58B98F6CB1E9}">
  <sheetPr codeName="Sheet12"/>
  <dimension ref="A1:U1000"/>
  <sheetViews>
    <sheetView topLeftCell="A13" workbookViewId="0">
      <selection activeCell="H39" sqref="H39"/>
    </sheetView>
  </sheetViews>
  <sheetFormatPr baseColWidth="10" defaultColWidth="9.06640625" defaultRowHeight="14.25" x14ac:dyDescent="0.45"/>
  <cols>
    <col min="1" max="1" width="11.86328125" style="1" bestFit="1" customWidth="1"/>
    <col min="2" max="2" width="15.86328125" bestFit="1" customWidth="1"/>
    <col min="3" max="3" width="13.1328125" bestFit="1" customWidth="1"/>
    <col min="11" max="11" width="13.1328125" bestFit="1" customWidth="1"/>
  </cols>
  <sheetData>
    <row r="1" spans="1:18" x14ac:dyDescent="0.45">
      <c r="I1" s="2">
        <f>'P1'!C3</f>
        <v>73298</v>
      </c>
      <c r="J1" s="2">
        <f>'P1'!D3</f>
        <v>12244.720714422299</v>
      </c>
      <c r="K1">
        <v>344385.05709872802</v>
      </c>
      <c r="M1" s="1">
        <f>AVERAGE(K1:K10000)</f>
        <v>342275.38061222178</v>
      </c>
      <c r="N1" s="1"/>
    </row>
    <row r="2" spans="1:18" x14ac:dyDescent="0.45">
      <c r="C2" t="s">
        <v>0</v>
      </c>
      <c r="D2" t="s">
        <v>1</v>
      </c>
      <c r="I2" s="2">
        <f>'P2'!C3</f>
        <v>68859</v>
      </c>
      <c r="J2" s="2">
        <f>'P2'!D3</f>
        <v>16752</v>
      </c>
      <c r="K2">
        <v>343968.00501616031</v>
      </c>
      <c r="M2" s="1">
        <f>_xlfn.STDEV.S(K1:K10000)</f>
        <v>7923.4643062556443</v>
      </c>
      <c r="N2" s="1"/>
    </row>
    <row r="3" spans="1:18" x14ac:dyDescent="0.45">
      <c r="B3" t="s">
        <v>8</v>
      </c>
      <c r="C3" s="1">
        <f>SUM(I1:I11)</f>
        <v>342623.31352499977</v>
      </c>
      <c r="D3" s="1">
        <f>AVERAGE(J1:J11)</f>
        <v>8005.3382467656629</v>
      </c>
      <c r="I3" s="2">
        <f>'P3'!C3</f>
        <v>68859</v>
      </c>
      <c r="J3" s="2">
        <f>'P3'!D3</f>
        <v>11499</v>
      </c>
      <c r="K3">
        <v>334492.75902897393</v>
      </c>
      <c r="P3" s="3"/>
      <c r="Q3" s="4"/>
      <c r="R3" s="5"/>
    </row>
    <row r="4" spans="1:18" x14ac:dyDescent="0.45">
      <c r="I4" s="2">
        <f>'P4'!C3</f>
        <v>32106.313524999801</v>
      </c>
      <c r="J4" s="2">
        <f>'P4'!D3</f>
        <v>10757</v>
      </c>
      <c r="K4">
        <v>355948.07362757972</v>
      </c>
      <c r="P4" s="6"/>
      <c r="Q4" s="7"/>
      <c r="R4" s="8"/>
    </row>
    <row r="5" spans="1:18" x14ac:dyDescent="0.45">
      <c r="B5" t="s">
        <v>2</v>
      </c>
      <c r="C5" s="1">
        <f ca="1">_xlfn.NORM.INV(RAND(),C3,D3)</f>
        <v>351503.42941312812</v>
      </c>
      <c r="I5" s="2">
        <f>'P5'!C3</f>
        <v>25772</v>
      </c>
      <c r="J5" s="2">
        <f>'P5'!D3</f>
        <v>8054</v>
      </c>
      <c r="K5">
        <v>348058.09166698065</v>
      </c>
      <c r="P5" s="6"/>
      <c r="Q5" s="7"/>
      <c r="R5" s="8"/>
    </row>
    <row r="6" spans="1:18" x14ac:dyDescent="0.45">
      <c r="I6" s="2">
        <f>'P6'!C3</f>
        <v>9574</v>
      </c>
      <c r="J6" s="2">
        <f>'P6'!D3</f>
        <v>2311</v>
      </c>
      <c r="K6">
        <v>345243.88254823472</v>
      </c>
      <c r="P6" s="6"/>
      <c r="Q6" s="7"/>
      <c r="R6" s="8"/>
    </row>
    <row r="7" spans="1:18" x14ac:dyDescent="0.45">
      <c r="I7" s="2">
        <f>'P7'!C3</f>
        <v>32108</v>
      </c>
      <c r="J7" s="2">
        <f>'P7'!D3</f>
        <v>11357</v>
      </c>
      <c r="K7">
        <v>338247.13344916771</v>
      </c>
      <c r="P7" s="6"/>
      <c r="Q7" s="7"/>
      <c r="R7" s="8"/>
    </row>
    <row r="8" spans="1:18" x14ac:dyDescent="0.45">
      <c r="B8" t="s">
        <v>3</v>
      </c>
      <c r="C8">
        <v>1000</v>
      </c>
      <c r="I8" s="2">
        <f>'P8'!C3</f>
        <v>16269</v>
      </c>
      <c r="J8" s="2">
        <f>'P8'!D3</f>
        <v>8378</v>
      </c>
      <c r="K8">
        <v>334821.69050060079</v>
      </c>
      <c r="P8" s="6"/>
      <c r="Q8" s="7"/>
      <c r="R8" s="8"/>
    </row>
    <row r="9" spans="1:18" x14ac:dyDescent="0.45">
      <c r="B9" t="s">
        <v>4</v>
      </c>
      <c r="C9">
        <v>1000</v>
      </c>
      <c r="I9" s="2">
        <f>'P9'!C3</f>
        <v>13254</v>
      </c>
      <c r="J9" s="2">
        <f>'P9'!D3</f>
        <v>6008</v>
      </c>
      <c r="K9">
        <v>351083.09069256531</v>
      </c>
      <c r="P9" s="6"/>
      <c r="Q9" s="7"/>
      <c r="R9" s="8"/>
    </row>
    <row r="10" spans="1:18" x14ac:dyDescent="0.45">
      <c r="B10" t="s">
        <v>6</v>
      </c>
      <c r="C10" s="1">
        <f>MAX(K:K)</f>
        <v>371421.42466559575</v>
      </c>
      <c r="I10" s="2">
        <f>'P10'!C3</f>
        <v>1467</v>
      </c>
      <c r="J10" s="2">
        <f>'P10'!D3</f>
        <v>497</v>
      </c>
      <c r="K10">
        <v>354184.72834319546</v>
      </c>
      <c r="P10" s="6"/>
      <c r="Q10" s="7"/>
      <c r="R10" s="8"/>
    </row>
    <row r="11" spans="1:18" x14ac:dyDescent="0.45">
      <c r="B11" t="s">
        <v>5</v>
      </c>
      <c r="C11" s="1">
        <f>MIN(K:K)</f>
        <v>318427.13401624461</v>
      </c>
      <c r="E11" s="1">
        <f>ROUNDDOWN((C10-C11)/100,0)</f>
        <v>529</v>
      </c>
      <c r="I11" s="2">
        <f>'P11'!C3</f>
        <v>1057</v>
      </c>
      <c r="J11" s="2">
        <f>'P11'!D3</f>
        <v>201</v>
      </c>
      <c r="K11">
        <v>354349.36066434474</v>
      </c>
      <c r="P11" s="6"/>
      <c r="Q11" s="7"/>
      <c r="R11" s="8"/>
    </row>
    <row r="12" spans="1:18" x14ac:dyDescent="0.45">
      <c r="K12">
        <v>328567.88939727546</v>
      </c>
      <c r="P12" s="6"/>
      <c r="Q12" s="7"/>
      <c r="R12" s="8"/>
    </row>
    <row r="13" spans="1:18" x14ac:dyDescent="0.45">
      <c r="A13" s="1">
        <f>ROUNDDOWN(C11,0)</f>
        <v>318427</v>
      </c>
      <c r="B13">
        <f>COUNTIFS($K$1:$K$1000,"&gt;="&amp; A13,$K$1:$K$1000,"&lt;="&amp; A14)</f>
        <v>1</v>
      </c>
      <c r="C13" s="2"/>
      <c r="K13">
        <v>334440.10735580197</v>
      </c>
      <c r="P13" s="6"/>
      <c r="Q13" s="7"/>
      <c r="R13" s="8"/>
    </row>
    <row r="14" spans="1:18" x14ac:dyDescent="0.45">
      <c r="A14" s="1">
        <f>IF(A13+($C$10-$C$11)/50&lt;=$C$10,A13+($C$10-$C$11)/50,MAX(A13+($C$10-$C$11)/50,$C$10))</f>
        <v>319486.88581298705</v>
      </c>
      <c r="B14">
        <f t="shared" ref="B14:B62" si="0">COUNTIFS($K$1:$K$1000,"&gt;="&amp; A14,$K$1:$K$1000,"&lt;="&amp; A15)</f>
        <v>2</v>
      </c>
      <c r="C14" s="2"/>
      <c r="K14">
        <v>339082.09339852462</v>
      </c>
      <c r="P14" s="6"/>
      <c r="Q14" s="7"/>
      <c r="R14" s="8"/>
    </row>
    <row r="15" spans="1:18" x14ac:dyDescent="0.45">
      <c r="A15" s="1">
        <f t="shared" ref="A15:A63" si="1">IF(A14+($C$10-$C$11)/50&lt;=$C$10,A14+($C$10-$C$11)/50,MAX(A14+($C$10-$C$11)/50,$C$10))</f>
        <v>320546.7716259741</v>
      </c>
      <c r="B15">
        <f t="shared" si="0"/>
        <v>1</v>
      </c>
      <c r="C15" s="2"/>
      <c r="K15">
        <v>330074.11291420675</v>
      </c>
      <c r="P15" s="6"/>
      <c r="Q15" s="7"/>
      <c r="R15" s="8"/>
    </row>
    <row r="16" spans="1:18" x14ac:dyDescent="0.45">
      <c r="A16" s="1">
        <f t="shared" si="1"/>
        <v>321606.65743896115</v>
      </c>
      <c r="B16">
        <f t="shared" si="0"/>
        <v>5</v>
      </c>
      <c r="C16" s="2"/>
      <c r="K16">
        <v>336902.55404701788</v>
      </c>
      <c r="P16" s="6"/>
      <c r="Q16" s="7"/>
      <c r="R16" s="8"/>
    </row>
    <row r="17" spans="1:21" x14ac:dyDescent="0.45">
      <c r="A17" s="1">
        <f t="shared" si="1"/>
        <v>322666.5432519482</v>
      </c>
      <c r="B17">
        <f t="shared" si="0"/>
        <v>4</v>
      </c>
      <c r="C17" s="2"/>
      <c r="K17">
        <v>330736.52585329296</v>
      </c>
      <c r="P17" s="6"/>
      <c r="Q17" s="7"/>
      <c r="R17" s="8"/>
    </row>
    <row r="18" spans="1:21" x14ac:dyDescent="0.45">
      <c r="A18" s="1">
        <f t="shared" si="1"/>
        <v>323726.42906493525</v>
      </c>
      <c r="B18">
        <f t="shared" si="0"/>
        <v>4</v>
      </c>
      <c r="C18" s="2"/>
      <c r="K18">
        <v>328159.03532334277</v>
      </c>
      <c r="P18" s="6"/>
      <c r="Q18" s="7"/>
      <c r="R18" s="8"/>
    </row>
    <row r="19" spans="1:21" x14ac:dyDescent="0.45">
      <c r="A19" s="1">
        <f t="shared" si="1"/>
        <v>324786.3148779223</v>
      </c>
      <c r="B19">
        <f t="shared" si="0"/>
        <v>5</v>
      </c>
      <c r="C19" s="2"/>
      <c r="K19">
        <v>335564.6336738778</v>
      </c>
      <c r="P19" s="6"/>
      <c r="Q19" s="7"/>
      <c r="R19" s="8"/>
    </row>
    <row r="20" spans="1:21" x14ac:dyDescent="0.45">
      <c r="A20" s="1">
        <f t="shared" si="1"/>
        <v>325846.20069090935</v>
      </c>
      <c r="B20">
        <f t="shared" si="0"/>
        <v>8</v>
      </c>
      <c r="C20" s="2"/>
      <c r="K20">
        <v>344708.64424987108</v>
      </c>
      <c r="P20" s="9"/>
      <c r="Q20" s="10"/>
      <c r="R20" s="11"/>
    </row>
    <row r="21" spans="1:21" x14ac:dyDescent="0.45">
      <c r="A21" s="1">
        <f t="shared" si="1"/>
        <v>326906.0865038964</v>
      </c>
      <c r="B21">
        <f t="shared" si="0"/>
        <v>8</v>
      </c>
      <c r="C21" s="2"/>
      <c r="K21">
        <v>345898.68414461875</v>
      </c>
    </row>
    <row r="22" spans="1:21" x14ac:dyDescent="0.45">
      <c r="A22" s="1">
        <f t="shared" si="1"/>
        <v>327965.97231688345</v>
      </c>
      <c r="B22">
        <f t="shared" si="0"/>
        <v>11</v>
      </c>
      <c r="C22" s="2"/>
      <c r="K22">
        <v>339083.75932968117</v>
      </c>
    </row>
    <row r="23" spans="1:21" x14ac:dyDescent="0.45">
      <c r="A23" s="1">
        <f t="shared" si="1"/>
        <v>329025.8581298705</v>
      </c>
      <c r="B23">
        <f t="shared" si="0"/>
        <v>8</v>
      </c>
      <c r="C23" s="2"/>
      <c r="K23">
        <v>352354.63149658067</v>
      </c>
      <c r="O23">
        <v>0</v>
      </c>
      <c r="P23">
        <v>1</v>
      </c>
      <c r="Q23">
        <v>2</v>
      </c>
      <c r="R23">
        <v>3</v>
      </c>
      <c r="S23">
        <v>4</v>
      </c>
      <c r="T23">
        <v>5</v>
      </c>
    </row>
    <row r="24" spans="1:21" x14ac:dyDescent="0.45">
      <c r="A24" s="1">
        <f t="shared" si="1"/>
        <v>330085.74394285755</v>
      </c>
      <c r="B24">
        <f t="shared" si="0"/>
        <v>16</v>
      </c>
      <c r="C24" s="2"/>
      <c r="K24">
        <v>351221.61393065553</v>
      </c>
      <c r="M24" t="s">
        <v>9</v>
      </c>
      <c r="N24" t="s">
        <v>21</v>
      </c>
      <c r="O24" s="13">
        <f ca="1">ROUNDUP(IF(_xlfn.NORM.INV(RAND(),$I1,$J1)&gt;0,_xlfn.NORM.INV(RAND(),$I1,$J1),0),0)</f>
        <v>84342</v>
      </c>
      <c r="P24" s="13">
        <f t="shared" ref="P24:T24" ca="1" si="2">ROUNDUP(IF(_xlfn.NORM.INV(RAND(),$I1,$J1)&gt;0,_xlfn.NORM.INV(RAND(),$I1,$J1),0),0)</f>
        <v>39353</v>
      </c>
      <c r="Q24" s="13">
        <f t="shared" ca="1" si="2"/>
        <v>79633</v>
      </c>
      <c r="R24" s="13">
        <f t="shared" ca="1" si="2"/>
        <v>65943</v>
      </c>
      <c r="S24" s="13">
        <f t="shared" ca="1" si="2"/>
        <v>93219</v>
      </c>
      <c r="T24" s="13">
        <f t="shared" ca="1" si="2"/>
        <v>90077</v>
      </c>
      <c r="U24" t="s">
        <v>22</v>
      </c>
    </row>
    <row r="25" spans="1:21" x14ac:dyDescent="0.45">
      <c r="A25" s="1">
        <f t="shared" si="1"/>
        <v>331145.62975584459</v>
      </c>
      <c r="B25">
        <f t="shared" si="0"/>
        <v>22</v>
      </c>
      <c r="C25" s="2"/>
      <c r="K25">
        <v>343269.04811553459</v>
      </c>
      <c r="M25" t="s">
        <v>10</v>
      </c>
      <c r="N25" t="s">
        <v>21</v>
      </c>
      <c r="O25" s="13">
        <f t="shared" ref="O25:T25" ca="1" si="3">ROUNDUP(IF(_xlfn.NORM.INV(RAND(),$I2,$J2)&gt;0,_xlfn.NORM.INV(RAND(),$I2,$J2),0),0)</f>
        <v>58879</v>
      </c>
      <c r="P25" s="13">
        <f t="shared" ca="1" si="3"/>
        <v>71318</v>
      </c>
      <c r="Q25" s="13">
        <f t="shared" ca="1" si="3"/>
        <v>96398</v>
      </c>
      <c r="R25" s="13">
        <f t="shared" ca="1" si="3"/>
        <v>97313</v>
      </c>
      <c r="S25" s="13">
        <f t="shared" ca="1" si="3"/>
        <v>60330</v>
      </c>
      <c r="T25" s="13">
        <f t="shared" ca="1" si="3"/>
        <v>64461</v>
      </c>
      <c r="U25" t="s">
        <v>22</v>
      </c>
    </row>
    <row r="26" spans="1:21" x14ac:dyDescent="0.45">
      <c r="A26" s="1">
        <f t="shared" si="1"/>
        <v>332205.51556883164</v>
      </c>
      <c r="B26">
        <f t="shared" si="0"/>
        <v>33</v>
      </c>
      <c r="C26" s="2"/>
      <c r="K26">
        <v>339599.41470527998</v>
      </c>
      <c r="M26" t="s">
        <v>11</v>
      </c>
      <c r="N26" t="s">
        <v>21</v>
      </c>
      <c r="O26" s="13">
        <f t="shared" ref="O26:T26" ca="1" si="4">ROUNDUP(IF(_xlfn.NORM.INV(RAND(),$I3,$J3)&gt;0,_xlfn.NORM.INV(RAND(),$I3,$J3),0),0)</f>
        <v>83023</v>
      </c>
      <c r="P26" s="13">
        <f t="shared" ca="1" si="4"/>
        <v>61086</v>
      </c>
      <c r="Q26" s="13">
        <f t="shared" ca="1" si="4"/>
        <v>65895</v>
      </c>
      <c r="R26" s="13">
        <f t="shared" ca="1" si="4"/>
        <v>87222</v>
      </c>
      <c r="S26" s="13">
        <f t="shared" ca="1" si="4"/>
        <v>52290</v>
      </c>
      <c r="T26" s="13">
        <f t="shared" ca="1" si="4"/>
        <v>60600</v>
      </c>
      <c r="U26" t="s">
        <v>22</v>
      </c>
    </row>
    <row r="27" spans="1:21" x14ac:dyDescent="0.45">
      <c r="A27" s="1">
        <f t="shared" si="1"/>
        <v>333265.40138181869</v>
      </c>
      <c r="B27">
        <f t="shared" si="0"/>
        <v>26</v>
      </c>
      <c r="C27" s="2"/>
      <c r="K27">
        <v>355372.48565245862</v>
      </c>
      <c r="M27" t="s">
        <v>12</v>
      </c>
      <c r="N27" t="s">
        <v>21</v>
      </c>
      <c r="O27" s="13">
        <f t="shared" ref="O27:T27" ca="1" si="5">ROUNDUP(IF(_xlfn.NORM.INV(RAND(),$I4,$J4)&gt;0,_xlfn.NORM.INV(RAND(),$I4,$J4),0),0)</f>
        <v>24675</v>
      </c>
      <c r="P27" s="13">
        <f t="shared" ca="1" si="5"/>
        <v>36528</v>
      </c>
      <c r="Q27" s="13">
        <f t="shared" ca="1" si="5"/>
        <v>27052</v>
      </c>
      <c r="R27" s="13">
        <f t="shared" ca="1" si="5"/>
        <v>35771</v>
      </c>
      <c r="S27" s="13">
        <f t="shared" ca="1" si="5"/>
        <v>27762</v>
      </c>
      <c r="T27" s="13">
        <f t="shared" ca="1" si="5"/>
        <v>26194</v>
      </c>
      <c r="U27" t="s">
        <v>22</v>
      </c>
    </row>
    <row r="28" spans="1:21" x14ac:dyDescent="0.45">
      <c r="A28" s="1">
        <f t="shared" si="1"/>
        <v>334325.28719480574</v>
      </c>
      <c r="B28">
        <f t="shared" si="0"/>
        <v>33</v>
      </c>
      <c r="C28" s="2"/>
      <c r="K28">
        <v>344014.52519037016</v>
      </c>
      <c r="M28" t="s">
        <v>13</v>
      </c>
      <c r="N28" t="s">
        <v>21</v>
      </c>
      <c r="O28" s="13">
        <f t="shared" ref="O28:T28" ca="1" si="6">ROUNDUP(IF(_xlfn.NORM.INV(RAND(),$I5,$J5)&gt;0,_xlfn.NORM.INV(RAND(),$I5,$J5),0),0)</f>
        <v>15701</v>
      </c>
      <c r="P28" s="13">
        <f t="shared" ca="1" si="6"/>
        <v>18778</v>
      </c>
      <c r="Q28" s="13">
        <f t="shared" ca="1" si="6"/>
        <v>25447</v>
      </c>
      <c r="R28" s="13">
        <f t="shared" ca="1" si="6"/>
        <v>20652</v>
      </c>
      <c r="S28" s="13">
        <f t="shared" ca="1" si="6"/>
        <v>16173</v>
      </c>
      <c r="T28" s="13">
        <f t="shared" ca="1" si="6"/>
        <v>23385</v>
      </c>
      <c r="U28" t="s">
        <v>22</v>
      </c>
    </row>
    <row r="29" spans="1:21" x14ac:dyDescent="0.45">
      <c r="A29" s="1">
        <f t="shared" si="1"/>
        <v>335385.17300779279</v>
      </c>
      <c r="B29">
        <f t="shared" si="0"/>
        <v>37</v>
      </c>
      <c r="C29" s="2"/>
      <c r="K29">
        <v>340978.69758466416</v>
      </c>
      <c r="M29" t="s">
        <v>14</v>
      </c>
      <c r="N29" t="s">
        <v>21</v>
      </c>
      <c r="O29" s="13">
        <f t="shared" ref="O29:T29" ca="1" si="7">ROUNDUP(IF(_xlfn.NORM.INV(RAND(),$I6,$J6)&gt;0,_xlfn.NORM.INV(RAND(),$I6,$J6),0),0)</f>
        <v>6553</v>
      </c>
      <c r="P29" s="13">
        <f t="shared" ca="1" si="7"/>
        <v>6589</v>
      </c>
      <c r="Q29" s="13">
        <f t="shared" ca="1" si="7"/>
        <v>8622</v>
      </c>
      <c r="R29" s="13">
        <f t="shared" ca="1" si="7"/>
        <v>6940</v>
      </c>
      <c r="S29" s="13">
        <f t="shared" ca="1" si="7"/>
        <v>5191</v>
      </c>
      <c r="T29" s="13">
        <f t="shared" ca="1" si="7"/>
        <v>9015</v>
      </c>
      <c r="U29" t="s">
        <v>22</v>
      </c>
    </row>
    <row r="30" spans="1:21" x14ac:dyDescent="0.45">
      <c r="A30" s="1">
        <f t="shared" si="1"/>
        <v>336445.05882077984</v>
      </c>
      <c r="B30">
        <f t="shared" si="0"/>
        <v>43</v>
      </c>
      <c r="C30" s="2"/>
      <c r="K30">
        <v>339734.41504867136</v>
      </c>
      <c r="M30" t="s">
        <v>15</v>
      </c>
      <c r="N30" t="s">
        <v>21</v>
      </c>
      <c r="O30" s="13">
        <f t="shared" ref="O30:T30" ca="1" si="8">ROUNDUP(IF(_xlfn.NORM.INV(RAND(),$I7,$J7)&gt;0,_xlfn.NORM.INV(RAND(),$I7,$J7),0),0)</f>
        <v>26562</v>
      </c>
      <c r="P30" s="13">
        <f t="shared" ca="1" si="8"/>
        <v>47459</v>
      </c>
      <c r="Q30" s="13">
        <f t="shared" ca="1" si="8"/>
        <v>23023</v>
      </c>
      <c r="R30" s="13">
        <f t="shared" ca="1" si="8"/>
        <v>22945</v>
      </c>
      <c r="S30" s="13">
        <f t="shared" ca="1" si="8"/>
        <v>40540</v>
      </c>
      <c r="T30" s="13">
        <f t="shared" ca="1" si="8"/>
        <v>34888</v>
      </c>
      <c r="U30" t="s">
        <v>22</v>
      </c>
    </row>
    <row r="31" spans="1:21" x14ac:dyDescent="0.45">
      <c r="A31" s="1">
        <f t="shared" si="1"/>
        <v>337504.94463376689</v>
      </c>
      <c r="B31">
        <f t="shared" si="0"/>
        <v>43</v>
      </c>
      <c r="C31" s="2"/>
      <c r="K31">
        <v>346462.90240380866</v>
      </c>
      <c r="M31" t="s">
        <v>16</v>
      </c>
      <c r="N31" t="s">
        <v>21</v>
      </c>
      <c r="O31" s="13">
        <f t="shared" ref="O31:T31" ca="1" si="9">ROUNDUP(IF(_xlfn.NORM.INV(RAND(),$I8,$J8)&gt;0,_xlfn.NORM.INV(RAND(),$I8,$J8),0),0)</f>
        <v>21839</v>
      </c>
      <c r="P31" s="13">
        <f t="shared" ca="1" si="9"/>
        <v>17497</v>
      </c>
      <c r="Q31" s="13">
        <f t="shared" ca="1" si="9"/>
        <v>26962</v>
      </c>
      <c r="R31" s="13">
        <f t="shared" ca="1" si="9"/>
        <v>19393</v>
      </c>
      <c r="S31" s="13">
        <f t="shared" ca="1" si="9"/>
        <v>17357</v>
      </c>
      <c r="T31" s="13">
        <f t="shared" ca="1" si="9"/>
        <v>31954</v>
      </c>
      <c r="U31" t="s">
        <v>22</v>
      </c>
    </row>
    <row r="32" spans="1:21" x14ac:dyDescent="0.45">
      <c r="A32" s="1">
        <f t="shared" si="1"/>
        <v>338564.83044675394</v>
      </c>
      <c r="B32">
        <f t="shared" si="0"/>
        <v>52</v>
      </c>
      <c r="C32" s="2"/>
      <c r="K32">
        <v>330458.99449111812</v>
      </c>
      <c r="M32" t="s">
        <v>17</v>
      </c>
      <c r="N32" t="s">
        <v>21</v>
      </c>
      <c r="O32" s="13">
        <f ca="1">ROUNDUP(IF(_xlfn.NORM.INV(RAND(),$I9,$J9)&gt;0,_xlfn.NORM.INV(RAND(),$I9,$J9),0),0)</f>
        <v>13015</v>
      </c>
      <c r="P32" s="13">
        <f t="shared" ref="P32:T32" ca="1" si="10">ROUNDUP(IF(_xlfn.NORM.INV(RAND(),$I9,$J9)&gt;0,_xlfn.NORM.INV(RAND(),$I9,$J9),0),0)</f>
        <v>5444</v>
      </c>
      <c r="Q32" s="13">
        <f t="shared" ca="1" si="10"/>
        <v>23777</v>
      </c>
      <c r="R32" s="13">
        <f ca="1">ROUNDUP(IF(_xlfn.NORM.INV(RAND(),$I9,$J9)&gt;0,_xlfn.NORM.INV(RAND(),$I9,$J9),0),0)</f>
        <v>15291</v>
      </c>
      <c r="S32" s="13">
        <f t="shared" ca="1" si="10"/>
        <v>30018</v>
      </c>
      <c r="T32" s="13">
        <f t="shared" ca="1" si="10"/>
        <v>20600</v>
      </c>
      <c r="U32" t="s">
        <v>22</v>
      </c>
    </row>
    <row r="33" spans="1:21" x14ac:dyDescent="0.45">
      <c r="A33" s="1">
        <f t="shared" si="1"/>
        <v>339624.71625974099</v>
      </c>
      <c r="B33">
        <f t="shared" si="0"/>
        <v>61</v>
      </c>
      <c r="C33" s="2"/>
      <c r="K33">
        <v>339325.20605637651</v>
      </c>
      <c r="M33" t="s">
        <v>18</v>
      </c>
      <c r="N33" t="s">
        <v>21</v>
      </c>
      <c r="O33" s="13">
        <f t="shared" ref="O33:T33" ca="1" si="11">ROUNDUP(IF(_xlfn.NORM.INV(RAND(),$I10,$J10)&gt;0,_xlfn.NORM.INV(RAND(),$I10,$J10),0),0)</f>
        <v>2241</v>
      </c>
      <c r="P33" s="13">
        <f t="shared" ca="1" si="11"/>
        <v>1542</v>
      </c>
      <c r="Q33" s="13">
        <f t="shared" ca="1" si="11"/>
        <v>2008</v>
      </c>
      <c r="R33" s="13">
        <f t="shared" ca="1" si="11"/>
        <v>1392</v>
      </c>
      <c r="S33" s="13">
        <f t="shared" ca="1" si="11"/>
        <v>1417</v>
      </c>
      <c r="T33" s="13">
        <f t="shared" ca="1" si="11"/>
        <v>994</v>
      </c>
      <c r="U33" t="s">
        <v>22</v>
      </c>
    </row>
    <row r="34" spans="1:21" x14ac:dyDescent="0.45">
      <c r="A34" s="1">
        <f t="shared" si="1"/>
        <v>340684.60207272804</v>
      </c>
      <c r="B34">
        <f t="shared" si="0"/>
        <v>55</v>
      </c>
      <c r="C34" s="2"/>
      <c r="K34">
        <v>350190.36664395686</v>
      </c>
      <c r="M34" t="s">
        <v>19</v>
      </c>
      <c r="N34" t="s">
        <v>21</v>
      </c>
      <c r="O34" s="13">
        <f t="shared" ref="O34:T34" ca="1" si="12">ROUNDUP(IF(_xlfn.NORM.INV(RAND(),$I11,$J11)&gt;0,_xlfn.NORM.INV(RAND(),$I11,$J11),0),0)</f>
        <v>850</v>
      </c>
      <c r="P34" s="13">
        <f t="shared" ca="1" si="12"/>
        <v>1238</v>
      </c>
      <c r="Q34" s="13">
        <f t="shared" ca="1" si="12"/>
        <v>1184</v>
      </c>
      <c r="R34" s="13">
        <f t="shared" ca="1" si="12"/>
        <v>721</v>
      </c>
      <c r="S34" s="13">
        <f t="shared" ca="1" si="12"/>
        <v>933</v>
      </c>
      <c r="T34" s="13">
        <f t="shared" ca="1" si="12"/>
        <v>548</v>
      </c>
      <c r="U34" t="s">
        <v>20</v>
      </c>
    </row>
    <row r="35" spans="1:21" x14ac:dyDescent="0.45">
      <c r="A35" s="1">
        <f t="shared" si="1"/>
        <v>341744.48788571509</v>
      </c>
      <c r="B35">
        <f t="shared" si="0"/>
        <v>53</v>
      </c>
      <c r="C35" s="2"/>
      <c r="K35">
        <v>337344.498837683</v>
      </c>
    </row>
    <row r="36" spans="1:21" x14ac:dyDescent="0.45">
      <c r="A36" s="1">
        <f t="shared" si="1"/>
        <v>342804.37369870214</v>
      </c>
      <c r="B36">
        <f t="shared" si="0"/>
        <v>46</v>
      </c>
      <c r="C36" s="2"/>
      <c r="K36">
        <v>357605.43984572525</v>
      </c>
      <c r="O36">
        <v>0</v>
      </c>
      <c r="P36">
        <v>1</v>
      </c>
      <c r="Q36">
        <v>2</v>
      </c>
      <c r="R36">
        <v>3</v>
      </c>
      <c r="S36">
        <v>4</v>
      </c>
      <c r="T36">
        <v>5</v>
      </c>
    </row>
    <row r="37" spans="1:21" x14ac:dyDescent="0.45">
      <c r="A37" s="1">
        <f t="shared" si="1"/>
        <v>343864.25951168919</v>
      </c>
      <c r="B37">
        <f t="shared" si="0"/>
        <v>61</v>
      </c>
      <c r="C37" s="2"/>
      <c r="K37">
        <v>342819.02600714134</v>
      </c>
      <c r="M37" t="s">
        <v>9</v>
      </c>
      <c r="N37" t="s">
        <v>21</v>
      </c>
      <c r="O37" s="13">
        <f ca="1">ROUNDUP((1+RAND()/10)*$J1,0)</f>
        <v>12771</v>
      </c>
      <c r="P37" s="13">
        <f t="shared" ref="P37:T37" ca="1" si="13">ROUNDUP((1+RAND()/10)*$J1,0)</f>
        <v>13240</v>
      </c>
      <c r="Q37" s="13">
        <f t="shared" ca="1" si="13"/>
        <v>13148</v>
      </c>
      <c r="R37" s="13">
        <f t="shared" ca="1" si="13"/>
        <v>12907</v>
      </c>
      <c r="S37" s="13">
        <f t="shared" ca="1" si="13"/>
        <v>12931</v>
      </c>
      <c r="T37" s="13">
        <f t="shared" ca="1" si="13"/>
        <v>13190</v>
      </c>
      <c r="U37" t="s">
        <v>22</v>
      </c>
    </row>
    <row r="38" spans="1:21" x14ac:dyDescent="0.45">
      <c r="A38" s="1">
        <f t="shared" si="1"/>
        <v>344924.14532467624</v>
      </c>
      <c r="B38">
        <f t="shared" si="0"/>
        <v>52</v>
      </c>
      <c r="C38" s="2"/>
      <c r="K38">
        <v>364394.02322174102</v>
      </c>
      <c r="M38" t="s">
        <v>10</v>
      </c>
      <c r="N38" t="s">
        <v>21</v>
      </c>
      <c r="O38" s="13">
        <f ca="1">ROUNDUP((1+RAND()/10)*$J2,0)</f>
        <v>17662</v>
      </c>
      <c r="P38" s="13">
        <f ca="1">ROUNDUP((1+RAND()/10)*$J2,0)</f>
        <v>17618</v>
      </c>
      <c r="Q38" s="13">
        <f t="shared" ref="Q38:T38" ca="1" si="14">ROUNDUP((1+RAND()/10)*$J2,0)</f>
        <v>17129</v>
      </c>
      <c r="R38" s="13">
        <f t="shared" ca="1" si="14"/>
        <v>18131</v>
      </c>
      <c r="S38" s="13">
        <f t="shared" ca="1" si="14"/>
        <v>16785</v>
      </c>
      <c r="T38" s="13">
        <f t="shared" ca="1" si="14"/>
        <v>16966</v>
      </c>
      <c r="U38" t="s">
        <v>22</v>
      </c>
    </row>
    <row r="39" spans="1:21" x14ac:dyDescent="0.45">
      <c r="A39" s="1">
        <f t="shared" si="1"/>
        <v>345984.03113766329</v>
      </c>
      <c r="B39">
        <f t="shared" si="0"/>
        <v>46</v>
      </c>
      <c r="C39" s="2"/>
      <c r="K39">
        <v>337521.8325441847</v>
      </c>
      <c r="M39" t="s">
        <v>11</v>
      </c>
      <c r="N39" t="s">
        <v>21</v>
      </c>
      <c r="O39" s="13">
        <f t="shared" ref="O39:O47" ca="1" si="15">ROUNDUP((1+RAND()/10)*$J3,0)</f>
        <v>11656</v>
      </c>
      <c r="P39" s="13">
        <f t="shared" ref="P39:T47" ca="1" si="16">ROUNDUP((1+RAND()/10)*$J3,0)</f>
        <v>12550</v>
      </c>
      <c r="Q39" s="13">
        <f t="shared" ca="1" si="16"/>
        <v>12171</v>
      </c>
      <c r="R39" s="13">
        <f t="shared" ca="1" si="16"/>
        <v>12458</v>
      </c>
      <c r="S39" s="13">
        <f t="shared" ca="1" si="16"/>
        <v>11809</v>
      </c>
      <c r="T39" s="13">
        <f t="shared" ca="1" si="16"/>
        <v>12207</v>
      </c>
      <c r="U39" t="s">
        <v>22</v>
      </c>
    </row>
    <row r="40" spans="1:21" x14ac:dyDescent="0.45">
      <c r="A40" s="1">
        <f t="shared" si="1"/>
        <v>347043.91695065034</v>
      </c>
      <c r="B40">
        <f t="shared" si="0"/>
        <v>44</v>
      </c>
      <c r="C40" s="2"/>
      <c r="K40">
        <v>347440.07339839189</v>
      </c>
      <c r="M40" t="s">
        <v>12</v>
      </c>
      <c r="N40" t="s">
        <v>21</v>
      </c>
      <c r="O40" s="13">
        <f t="shared" ca="1" si="15"/>
        <v>11282</v>
      </c>
      <c r="P40" s="13">
        <f t="shared" ca="1" si="16"/>
        <v>11720</v>
      </c>
      <c r="Q40" s="13">
        <f t="shared" ca="1" si="16"/>
        <v>11351</v>
      </c>
      <c r="R40" s="13">
        <f t="shared" ca="1" si="16"/>
        <v>11334</v>
      </c>
      <c r="S40" s="13">
        <f t="shared" ca="1" si="16"/>
        <v>11475</v>
      </c>
      <c r="T40" s="13">
        <f t="shared" ca="1" si="16"/>
        <v>11557</v>
      </c>
      <c r="U40" t="s">
        <v>22</v>
      </c>
    </row>
    <row r="41" spans="1:21" x14ac:dyDescent="0.45">
      <c r="A41" s="1">
        <f t="shared" si="1"/>
        <v>348103.80276363739</v>
      </c>
      <c r="B41">
        <f t="shared" si="0"/>
        <v>34</v>
      </c>
      <c r="C41" s="2"/>
      <c r="K41">
        <v>341448.21800799202</v>
      </c>
      <c r="M41" t="s">
        <v>13</v>
      </c>
      <c r="N41" t="s">
        <v>21</v>
      </c>
      <c r="O41" s="13">
        <f t="shared" ca="1" si="15"/>
        <v>8635</v>
      </c>
      <c r="P41" s="13">
        <f t="shared" ca="1" si="16"/>
        <v>8563</v>
      </c>
      <c r="Q41" s="13">
        <f t="shared" ca="1" si="16"/>
        <v>8443</v>
      </c>
      <c r="R41" s="13">
        <f t="shared" ca="1" si="16"/>
        <v>8836</v>
      </c>
      <c r="S41" s="13">
        <f t="shared" ca="1" si="16"/>
        <v>8239</v>
      </c>
      <c r="T41" s="13">
        <f t="shared" ca="1" si="16"/>
        <v>8499</v>
      </c>
      <c r="U41" t="s">
        <v>22</v>
      </c>
    </row>
    <row r="42" spans="1:21" x14ac:dyDescent="0.45">
      <c r="A42" s="1">
        <f t="shared" si="1"/>
        <v>349163.68857662444</v>
      </c>
      <c r="B42">
        <f t="shared" si="0"/>
        <v>23</v>
      </c>
      <c r="C42" s="2"/>
      <c r="K42">
        <v>331411.15460342163</v>
      </c>
      <c r="M42" t="s">
        <v>14</v>
      </c>
      <c r="N42" t="s">
        <v>21</v>
      </c>
      <c r="O42" s="13">
        <f t="shared" ca="1" si="15"/>
        <v>2469</v>
      </c>
      <c r="P42" s="13">
        <f t="shared" ca="1" si="16"/>
        <v>2319</v>
      </c>
      <c r="Q42" s="13">
        <f t="shared" ca="1" si="16"/>
        <v>2529</v>
      </c>
      <c r="R42" s="13">
        <f t="shared" ca="1" si="16"/>
        <v>2487</v>
      </c>
      <c r="S42" s="13">
        <f t="shared" ca="1" si="16"/>
        <v>2450</v>
      </c>
      <c r="T42" s="13">
        <f t="shared" ca="1" si="16"/>
        <v>2416</v>
      </c>
      <c r="U42" t="s">
        <v>22</v>
      </c>
    </row>
    <row r="43" spans="1:21" x14ac:dyDescent="0.45">
      <c r="A43" s="1">
        <f t="shared" si="1"/>
        <v>350223.57438961149</v>
      </c>
      <c r="B43">
        <f t="shared" si="0"/>
        <v>36</v>
      </c>
      <c r="C43" s="2"/>
      <c r="K43">
        <v>345393.05791550613</v>
      </c>
      <c r="M43" t="s">
        <v>15</v>
      </c>
      <c r="N43" t="s">
        <v>21</v>
      </c>
      <c r="O43" s="13">
        <f t="shared" ca="1" si="15"/>
        <v>11466</v>
      </c>
      <c r="P43" s="13">
        <f t="shared" ca="1" si="16"/>
        <v>12351</v>
      </c>
      <c r="Q43" s="13">
        <f t="shared" ca="1" si="16"/>
        <v>11774</v>
      </c>
      <c r="R43" s="13">
        <f t="shared" ca="1" si="16"/>
        <v>12254</v>
      </c>
      <c r="S43" s="13">
        <f t="shared" ca="1" si="16"/>
        <v>11982</v>
      </c>
      <c r="T43" s="13">
        <f t="shared" ca="1" si="16"/>
        <v>11996</v>
      </c>
      <c r="U43" t="s">
        <v>22</v>
      </c>
    </row>
    <row r="44" spans="1:21" x14ac:dyDescent="0.45">
      <c r="A44" s="1">
        <f t="shared" si="1"/>
        <v>351283.46020259854</v>
      </c>
      <c r="B44">
        <f t="shared" si="0"/>
        <v>28</v>
      </c>
      <c r="C44" s="2"/>
      <c r="K44">
        <v>324608.12880265352</v>
      </c>
      <c r="M44" t="s">
        <v>16</v>
      </c>
      <c r="N44" t="s">
        <v>21</v>
      </c>
      <c r="O44" s="13">
        <f t="shared" ca="1" si="15"/>
        <v>8819</v>
      </c>
      <c r="P44" s="13">
        <f t="shared" ca="1" si="16"/>
        <v>8861</v>
      </c>
      <c r="Q44" s="13">
        <f t="shared" ca="1" si="16"/>
        <v>8703</v>
      </c>
      <c r="R44" s="13">
        <f t="shared" ca="1" si="16"/>
        <v>8629</v>
      </c>
      <c r="S44" s="13">
        <f t="shared" ca="1" si="16"/>
        <v>8543</v>
      </c>
      <c r="T44" s="13">
        <f t="shared" ca="1" si="16"/>
        <v>8829</v>
      </c>
      <c r="U44" t="s">
        <v>22</v>
      </c>
    </row>
    <row r="45" spans="1:21" x14ac:dyDescent="0.45">
      <c r="A45" s="1">
        <f t="shared" si="1"/>
        <v>352343.34601558559</v>
      </c>
      <c r="B45">
        <f t="shared" si="0"/>
        <v>21</v>
      </c>
      <c r="C45" s="2"/>
      <c r="K45">
        <v>353464.18432041485</v>
      </c>
      <c r="M45" t="s">
        <v>17</v>
      </c>
      <c r="N45" t="s">
        <v>21</v>
      </c>
      <c r="O45" s="13">
        <f t="shared" ca="1" si="15"/>
        <v>6492</v>
      </c>
      <c r="P45" s="13">
        <f t="shared" ca="1" si="16"/>
        <v>6439</v>
      </c>
      <c r="Q45" s="13">
        <f t="shared" ca="1" si="16"/>
        <v>6519</v>
      </c>
      <c r="R45" s="13">
        <f t="shared" ca="1" si="16"/>
        <v>6065</v>
      </c>
      <c r="S45" s="13">
        <f t="shared" ca="1" si="16"/>
        <v>6384</v>
      </c>
      <c r="T45" s="13">
        <f t="shared" ca="1" si="16"/>
        <v>6503</v>
      </c>
      <c r="U45" t="s">
        <v>22</v>
      </c>
    </row>
    <row r="46" spans="1:21" x14ac:dyDescent="0.45">
      <c r="A46" s="1">
        <f t="shared" si="1"/>
        <v>353403.23182857264</v>
      </c>
      <c r="B46">
        <f t="shared" si="0"/>
        <v>19</v>
      </c>
      <c r="C46" s="2"/>
      <c r="K46">
        <v>343977.17661952501</v>
      </c>
      <c r="M46" t="s">
        <v>18</v>
      </c>
      <c r="N46" t="s">
        <v>21</v>
      </c>
      <c r="O46" s="13">
        <f t="shared" ca="1" si="15"/>
        <v>539</v>
      </c>
      <c r="P46" s="13">
        <f t="shared" ca="1" si="16"/>
        <v>543</v>
      </c>
      <c r="Q46" s="13">
        <f t="shared" ca="1" si="16"/>
        <v>527</v>
      </c>
      <c r="R46" s="13">
        <f t="shared" ca="1" si="16"/>
        <v>522</v>
      </c>
      <c r="S46" s="13">
        <f t="shared" ca="1" si="16"/>
        <v>509</v>
      </c>
      <c r="T46" s="13">
        <f t="shared" ca="1" si="16"/>
        <v>536</v>
      </c>
      <c r="U46" t="s">
        <v>22</v>
      </c>
    </row>
    <row r="47" spans="1:21" x14ac:dyDescent="0.45">
      <c r="A47" s="1">
        <f t="shared" si="1"/>
        <v>354463.11764155969</v>
      </c>
      <c r="B47">
        <f t="shared" si="0"/>
        <v>14</v>
      </c>
      <c r="C47" s="2"/>
      <c r="K47">
        <v>345835.65417744196</v>
      </c>
      <c r="M47" t="s">
        <v>19</v>
      </c>
      <c r="N47" t="s">
        <v>21</v>
      </c>
      <c r="O47" s="13">
        <f t="shared" ca="1" si="15"/>
        <v>207</v>
      </c>
      <c r="P47" s="13">
        <f t="shared" ca="1" si="16"/>
        <v>203</v>
      </c>
      <c r="Q47" s="13">
        <f t="shared" ca="1" si="16"/>
        <v>217</v>
      </c>
      <c r="R47" s="13">
        <f t="shared" ca="1" si="16"/>
        <v>218</v>
      </c>
      <c r="S47" s="13">
        <f t="shared" ca="1" si="16"/>
        <v>216</v>
      </c>
      <c r="T47" s="13">
        <f t="shared" ca="1" si="16"/>
        <v>220</v>
      </c>
      <c r="U47" t="s">
        <v>20</v>
      </c>
    </row>
    <row r="48" spans="1:21" x14ac:dyDescent="0.45">
      <c r="A48" s="1">
        <f t="shared" si="1"/>
        <v>355523.00345454674</v>
      </c>
      <c r="B48">
        <f t="shared" si="0"/>
        <v>12</v>
      </c>
      <c r="C48" s="2"/>
      <c r="K48">
        <v>345179.35301300045</v>
      </c>
    </row>
    <row r="49" spans="1:11" x14ac:dyDescent="0.45">
      <c r="A49" s="1">
        <f t="shared" si="1"/>
        <v>356582.88926753378</v>
      </c>
      <c r="B49">
        <f t="shared" si="0"/>
        <v>9</v>
      </c>
      <c r="C49" s="2"/>
      <c r="K49">
        <v>341334.23991244286</v>
      </c>
    </row>
    <row r="50" spans="1:11" x14ac:dyDescent="0.45">
      <c r="A50" s="1">
        <f t="shared" si="1"/>
        <v>357642.77508052083</v>
      </c>
      <c r="B50">
        <f t="shared" si="0"/>
        <v>5</v>
      </c>
      <c r="C50" s="2"/>
      <c r="K50">
        <v>343754.21175090736</v>
      </c>
    </row>
    <row r="51" spans="1:11" x14ac:dyDescent="0.45">
      <c r="A51" s="1">
        <f t="shared" si="1"/>
        <v>358702.66089350788</v>
      </c>
      <c r="B51">
        <f t="shared" si="0"/>
        <v>5</v>
      </c>
      <c r="C51" s="2"/>
      <c r="K51">
        <v>336772.82370699249</v>
      </c>
    </row>
    <row r="52" spans="1:11" x14ac:dyDescent="0.45">
      <c r="A52" s="1">
        <f t="shared" si="1"/>
        <v>359762.54670649493</v>
      </c>
      <c r="B52">
        <f t="shared" si="0"/>
        <v>3</v>
      </c>
      <c r="C52" s="2"/>
      <c r="K52">
        <v>353548.88650846592</v>
      </c>
    </row>
    <row r="53" spans="1:11" x14ac:dyDescent="0.45">
      <c r="A53" s="1">
        <f t="shared" si="1"/>
        <v>360822.43251948198</v>
      </c>
      <c r="B53">
        <f t="shared" si="0"/>
        <v>2</v>
      </c>
      <c r="C53" s="2"/>
      <c r="K53">
        <v>344836.96089165885</v>
      </c>
    </row>
    <row r="54" spans="1:11" x14ac:dyDescent="0.45">
      <c r="A54" s="1">
        <f t="shared" si="1"/>
        <v>361882.31833246903</v>
      </c>
      <c r="B54">
        <f t="shared" si="0"/>
        <v>1</v>
      </c>
      <c r="C54" s="2"/>
      <c r="K54">
        <v>347850.11675794842</v>
      </c>
    </row>
    <row r="55" spans="1:11" x14ac:dyDescent="0.45">
      <c r="A55" s="1">
        <f t="shared" si="1"/>
        <v>362942.20414545608</v>
      </c>
      <c r="B55">
        <f t="shared" si="0"/>
        <v>1</v>
      </c>
      <c r="C55" s="2"/>
      <c r="K55">
        <v>333068.18432673102</v>
      </c>
    </row>
    <row r="56" spans="1:11" x14ac:dyDescent="0.45">
      <c r="A56" s="1">
        <f t="shared" si="1"/>
        <v>364002.08995844313</v>
      </c>
      <c r="B56">
        <f t="shared" si="0"/>
        <v>3</v>
      </c>
      <c r="C56" s="2"/>
      <c r="K56">
        <v>341909.4644668629</v>
      </c>
    </row>
    <row r="57" spans="1:11" x14ac:dyDescent="0.45">
      <c r="A57" s="1">
        <f t="shared" si="1"/>
        <v>365061.97577143018</v>
      </c>
      <c r="B57">
        <f t="shared" si="0"/>
        <v>1</v>
      </c>
      <c r="C57" s="2"/>
      <c r="K57">
        <v>336498.38492405193</v>
      </c>
    </row>
    <row r="58" spans="1:11" x14ac:dyDescent="0.45">
      <c r="A58" s="1">
        <f t="shared" si="1"/>
        <v>366121.86158441723</v>
      </c>
      <c r="B58">
        <f t="shared" si="0"/>
        <v>0</v>
      </c>
      <c r="C58" s="2"/>
      <c r="K58">
        <v>341916.33596629655</v>
      </c>
    </row>
    <row r="59" spans="1:11" x14ac:dyDescent="0.45">
      <c r="A59" s="1">
        <f t="shared" si="1"/>
        <v>367181.74739740428</v>
      </c>
      <c r="B59">
        <f t="shared" si="0"/>
        <v>0</v>
      </c>
      <c r="C59" s="2"/>
      <c r="K59">
        <v>337551.57876958244</v>
      </c>
    </row>
    <row r="60" spans="1:11" x14ac:dyDescent="0.45">
      <c r="A60" s="1">
        <f t="shared" si="1"/>
        <v>368241.63321039133</v>
      </c>
      <c r="B60">
        <f t="shared" si="0"/>
        <v>0</v>
      </c>
      <c r="C60" s="2"/>
      <c r="K60">
        <v>345765.669298205</v>
      </c>
    </row>
    <row r="61" spans="1:11" x14ac:dyDescent="0.45">
      <c r="A61" s="1">
        <f t="shared" si="1"/>
        <v>369301.51902337838</v>
      </c>
      <c r="B61">
        <f t="shared" si="0"/>
        <v>1</v>
      </c>
      <c r="C61" s="2"/>
      <c r="K61">
        <v>340218.94513222057</v>
      </c>
    </row>
    <row r="62" spans="1:11" x14ac:dyDescent="0.45">
      <c r="A62" s="1">
        <f t="shared" si="1"/>
        <v>370361.40483636543</v>
      </c>
      <c r="B62">
        <f t="shared" si="0"/>
        <v>1</v>
      </c>
      <c r="C62" s="2"/>
      <c r="K62">
        <v>351447.56475569791</v>
      </c>
    </row>
    <row r="63" spans="1:11" x14ac:dyDescent="0.45">
      <c r="A63" s="1">
        <f t="shared" si="1"/>
        <v>371421.29064935248</v>
      </c>
      <c r="B63">
        <f>COUNTIFS($K$1:$K$1000,"&gt;="&amp; A63)</f>
        <v>1</v>
      </c>
      <c r="C63" s="2"/>
      <c r="K63">
        <v>339999.96730392677</v>
      </c>
    </row>
    <row r="64" spans="1:11" x14ac:dyDescent="0.45">
      <c r="C64" s="2"/>
      <c r="K64">
        <v>341216.38206597214</v>
      </c>
    </row>
    <row r="65" spans="3:11" x14ac:dyDescent="0.45">
      <c r="C65" s="2"/>
      <c r="K65">
        <v>335024.55935817555</v>
      </c>
    </row>
    <row r="66" spans="3:11" x14ac:dyDescent="0.45">
      <c r="C66" s="2"/>
      <c r="K66">
        <v>338610.98365784215</v>
      </c>
    </row>
    <row r="67" spans="3:11" x14ac:dyDescent="0.45">
      <c r="C67" s="2"/>
      <c r="K67">
        <v>336810.70551212266</v>
      </c>
    </row>
    <row r="68" spans="3:11" x14ac:dyDescent="0.45">
      <c r="C68" s="2"/>
      <c r="K68">
        <v>355481.40068822552</v>
      </c>
    </row>
    <row r="69" spans="3:11" x14ac:dyDescent="0.45">
      <c r="C69" s="2"/>
      <c r="K69">
        <v>337991.30749665713</v>
      </c>
    </row>
    <row r="70" spans="3:11" x14ac:dyDescent="0.45">
      <c r="C70" s="2"/>
      <c r="K70">
        <v>358876.53700655606</v>
      </c>
    </row>
    <row r="71" spans="3:11" x14ac:dyDescent="0.45">
      <c r="C71" s="2"/>
      <c r="K71">
        <v>349204.04395676102</v>
      </c>
    </row>
    <row r="72" spans="3:11" x14ac:dyDescent="0.45">
      <c r="C72" s="2"/>
      <c r="K72">
        <v>346567.55085319653</v>
      </c>
    </row>
    <row r="73" spans="3:11" x14ac:dyDescent="0.45">
      <c r="C73" s="2"/>
      <c r="K73">
        <v>354113.79556830978</v>
      </c>
    </row>
    <row r="74" spans="3:11" x14ac:dyDescent="0.45">
      <c r="C74" s="2"/>
      <c r="K74">
        <v>331253.54314582091</v>
      </c>
    </row>
    <row r="75" spans="3:11" x14ac:dyDescent="0.45">
      <c r="C75" s="2"/>
      <c r="K75">
        <v>339267.26526439394</v>
      </c>
    </row>
    <row r="76" spans="3:11" x14ac:dyDescent="0.45">
      <c r="C76" s="2"/>
      <c r="K76">
        <v>339197.67990680423</v>
      </c>
    </row>
    <row r="77" spans="3:11" x14ac:dyDescent="0.45">
      <c r="C77" s="2"/>
      <c r="K77">
        <v>350665.02782647713</v>
      </c>
    </row>
    <row r="78" spans="3:11" x14ac:dyDescent="0.45">
      <c r="C78" s="2"/>
      <c r="K78">
        <v>339344.17007302848</v>
      </c>
    </row>
    <row r="79" spans="3:11" x14ac:dyDescent="0.45">
      <c r="C79" s="2"/>
      <c r="K79">
        <v>341832.43170730572</v>
      </c>
    </row>
    <row r="80" spans="3:11" x14ac:dyDescent="0.45">
      <c r="C80" s="2"/>
      <c r="K80">
        <v>329445.02079219191</v>
      </c>
    </row>
    <row r="81" spans="3:11" x14ac:dyDescent="0.45">
      <c r="C81" s="2"/>
      <c r="K81">
        <v>341463.3192536491</v>
      </c>
    </row>
    <row r="82" spans="3:11" x14ac:dyDescent="0.45">
      <c r="C82" s="2"/>
      <c r="K82">
        <v>325964.67977321974</v>
      </c>
    </row>
    <row r="83" spans="3:11" x14ac:dyDescent="0.45">
      <c r="C83" s="2"/>
      <c r="K83">
        <v>334483.16165368725</v>
      </c>
    </row>
    <row r="84" spans="3:11" x14ac:dyDescent="0.45">
      <c r="K84">
        <v>334747.88430007501</v>
      </c>
    </row>
    <row r="85" spans="3:11" x14ac:dyDescent="0.45">
      <c r="K85">
        <v>327084.37142695935</v>
      </c>
    </row>
    <row r="86" spans="3:11" x14ac:dyDescent="0.45">
      <c r="K86">
        <v>347767.38089255901</v>
      </c>
    </row>
    <row r="87" spans="3:11" x14ac:dyDescent="0.45">
      <c r="K87">
        <v>325819.26308587368</v>
      </c>
    </row>
    <row r="88" spans="3:11" x14ac:dyDescent="0.45">
      <c r="K88">
        <v>348866.72615171422</v>
      </c>
    </row>
    <row r="89" spans="3:11" x14ac:dyDescent="0.45">
      <c r="K89">
        <v>361524.93059303612</v>
      </c>
    </row>
    <row r="90" spans="3:11" x14ac:dyDescent="0.45">
      <c r="K90">
        <v>337180.27227001276</v>
      </c>
    </row>
    <row r="91" spans="3:11" x14ac:dyDescent="0.45">
      <c r="K91">
        <v>339005.27590144373</v>
      </c>
    </row>
    <row r="92" spans="3:11" x14ac:dyDescent="0.45">
      <c r="K92">
        <v>332189.25880372064</v>
      </c>
    </row>
    <row r="93" spans="3:11" x14ac:dyDescent="0.45">
      <c r="K93">
        <v>347193.18705813057</v>
      </c>
    </row>
    <row r="94" spans="3:11" x14ac:dyDescent="0.45">
      <c r="K94">
        <v>335576.55488440598</v>
      </c>
    </row>
    <row r="95" spans="3:11" x14ac:dyDescent="0.45">
      <c r="K95">
        <v>336303.61331768846</v>
      </c>
    </row>
    <row r="96" spans="3:11" x14ac:dyDescent="0.45">
      <c r="K96">
        <v>340176.21511431929</v>
      </c>
    </row>
    <row r="97" spans="11:11" x14ac:dyDescent="0.45">
      <c r="K97">
        <v>339929.08761186473</v>
      </c>
    </row>
    <row r="98" spans="11:11" x14ac:dyDescent="0.45">
      <c r="K98">
        <v>330692.25705960393</v>
      </c>
    </row>
    <row r="99" spans="11:11" x14ac:dyDescent="0.45">
      <c r="K99">
        <v>339987.75596438395</v>
      </c>
    </row>
    <row r="100" spans="11:11" x14ac:dyDescent="0.45">
      <c r="K100">
        <v>341325.22760452802</v>
      </c>
    </row>
    <row r="101" spans="11:11" x14ac:dyDescent="0.45">
      <c r="K101">
        <v>340694.00316562463</v>
      </c>
    </row>
    <row r="102" spans="11:11" x14ac:dyDescent="0.45">
      <c r="K102">
        <v>352349.16645067884</v>
      </c>
    </row>
    <row r="103" spans="11:11" x14ac:dyDescent="0.45">
      <c r="K103">
        <v>348827.75168974756</v>
      </c>
    </row>
    <row r="104" spans="11:11" x14ac:dyDescent="0.45">
      <c r="K104">
        <v>328830.40134287695</v>
      </c>
    </row>
    <row r="105" spans="11:11" x14ac:dyDescent="0.45">
      <c r="K105">
        <v>358472.29798227886</v>
      </c>
    </row>
    <row r="106" spans="11:11" x14ac:dyDescent="0.45">
      <c r="K106">
        <v>335521.52810848324</v>
      </c>
    </row>
    <row r="107" spans="11:11" x14ac:dyDescent="0.45">
      <c r="K107">
        <v>330701.2993755223</v>
      </c>
    </row>
    <row r="108" spans="11:11" x14ac:dyDescent="0.45">
      <c r="K108">
        <v>332108.94652036147</v>
      </c>
    </row>
    <row r="109" spans="11:11" x14ac:dyDescent="0.45">
      <c r="K109">
        <v>340416.90272765607</v>
      </c>
    </row>
    <row r="110" spans="11:11" x14ac:dyDescent="0.45">
      <c r="K110">
        <v>331941.35300212394</v>
      </c>
    </row>
    <row r="111" spans="11:11" x14ac:dyDescent="0.45">
      <c r="K111">
        <v>333895.03417758312</v>
      </c>
    </row>
    <row r="112" spans="11:11" x14ac:dyDescent="0.45">
      <c r="K112">
        <v>341607.80218816659</v>
      </c>
    </row>
    <row r="113" spans="2:11" x14ac:dyDescent="0.45">
      <c r="K113">
        <v>349561.94677289762</v>
      </c>
    </row>
    <row r="114" spans="2:11" x14ac:dyDescent="0.45">
      <c r="K114">
        <v>337073.03739443287</v>
      </c>
    </row>
    <row r="115" spans="2:11" x14ac:dyDescent="0.45">
      <c r="B115">
        <f>SUM(B13:B114)</f>
        <v>1000</v>
      </c>
      <c r="K115">
        <v>336597.85764965875</v>
      </c>
    </row>
    <row r="116" spans="2:11" x14ac:dyDescent="0.45">
      <c r="K116">
        <v>341062.12861273694</v>
      </c>
    </row>
    <row r="117" spans="2:11" x14ac:dyDescent="0.45">
      <c r="K117">
        <v>330270.97746627656</v>
      </c>
    </row>
    <row r="118" spans="2:11" x14ac:dyDescent="0.45">
      <c r="K118">
        <v>336785.22461264877</v>
      </c>
    </row>
    <row r="119" spans="2:11" x14ac:dyDescent="0.45">
      <c r="K119">
        <v>346680.64312344446</v>
      </c>
    </row>
    <row r="120" spans="2:11" x14ac:dyDescent="0.45">
      <c r="K120">
        <v>339248.43406767532</v>
      </c>
    </row>
    <row r="121" spans="2:11" x14ac:dyDescent="0.45">
      <c r="K121">
        <v>340353.646157721</v>
      </c>
    </row>
    <row r="122" spans="2:11" x14ac:dyDescent="0.45">
      <c r="K122">
        <v>351655.78970803146</v>
      </c>
    </row>
    <row r="123" spans="2:11" x14ac:dyDescent="0.45">
      <c r="K123">
        <v>341089.60947766376</v>
      </c>
    </row>
    <row r="124" spans="2:11" x14ac:dyDescent="0.45">
      <c r="K124">
        <v>340572.79508269957</v>
      </c>
    </row>
    <row r="125" spans="2:11" x14ac:dyDescent="0.45">
      <c r="K125">
        <v>337070.79494746123</v>
      </c>
    </row>
    <row r="126" spans="2:11" x14ac:dyDescent="0.45">
      <c r="K126">
        <v>352308.72829481802</v>
      </c>
    </row>
    <row r="127" spans="2:11" x14ac:dyDescent="0.45">
      <c r="K127">
        <v>341754.27540054789</v>
      </c>
    </row>
    <row r="128" spans="2:11" x14ac:dyDescent="0.45">
      <c r="K128">
        <v>348554.55153277959</v>
      </c>
    </row>
    <row r="129" spans="11:11" x14ac:dyDescent="0.45">
      <c r="K129">
        <v>339664.54789970064</v>
      </c>
    </row>
    <row r="130" spans="11:11" x14ac:dyDescent="0.45">
      <c r="K130">
        <v>333250.65280379367</v>
      </c>
    </row>
    <row r="131" spans="11:11" x14ac:dyDescent="0.45">
      <c r="K131">
        <v>359992.24022284889</v>
      </c>
    </row>
    <row r="132" spans="11:11" x14ac:dyDescent="0.45">
      <c r="K132">
        <v>350223.77311262151</v>
      </c>
    </row>
    <row r="133" spans="11:11" x14ac:dyDescent="0.45">
      <c r="K133">
        <v>343019.27172524581</v>
      </c>
    </row>
    <row r="134" spans="11:11" x14ac:dyDescent="0.45">
      <c r="K134">
        <v>350534.22255592822</v>
      </c>
    </row>
    <row r="135" spans="11:11" x14ac:dyDescent="0.45">
      <c r="K135">
        <v>331900.26247183682</v>
      </c>
    </row>
    <row r="136" spans="11:11" x14ac:dyDescent="0.45">
      <c r="K136">
        <v>353817.07267076563</v>
      </c>
    </row>
    <row r="137" spans="11:11" x14ac:dyDescent="0.45">
      <c r="K137">
        <v>350633.28856396669</v>
      </c>
    </row>
    <row r="138" spans="11:11" x14ac:dyDescent="0.45">
      <c r="K138">
        <v>356149.28127397847</v>
      </c>
    </row>
    <row r="139" spans="11:11" x14ac:dyDescent="0.45">
      <c r="K139">
        <v>337605.3439420865</v>
      </c>
    </row>
    <row r="140" spans="11:11" x14ac:dyDescent="0.45">
      <c r="K140">
        <v>353633.93152744375</v>
      </c>
    </row>
    <row r="141" spans="11:11" x14ac:dyDescent="0.45">
      <c r="K141">
        <v>349287.38219282299</v>
      </c>
    </row>
    <row r="142" spans="11:11" x14ac:dyDescent="0.45">
      <c r="K142">
        <v>348413.20695565041</v>
      </c>
    </row>
    <row r="143" spans="11:11" x14ac:dyDescent="0.45">
      <c r="K143">
        <v>340031.71852153406</v>
      </c>
    </row>
    <row r="144" spans="11:11" x14ac:dyDescent="0.45">
      <c r="K144">
        <v>331108.29469586763</v>
      </c>
    </row>
    <row r="145" spans="11:11" x14ac:dyDescent="0.45">
      <c r="K145">
        <v>346217.16190058016</v>
      </c>
    </row>
    <row r="146" spans="11:11" x14ac:dyDescent="0.45">
      <c r="K146">
        <v>339587.83824745414</v>
      </c>
    </row>
    <row r="147" spans="11:11" x14ac:dyDescent="0.45">
      <c r="K147">
        <v>358725.5233730193</v>
      </c>
    </row>
    <row r="148" spans="11:11" x14ac:dyDescent="0.45">
      <c r="K148">
        <v>334865.55923946702</v>
      </c>
    </row>
    <row r="149" spans="11:11" x14ac:dyDescent="0.45">
      <c r="K149">
        <v>371055.82527296245</v>
      </c>
    </row>
    <row r="150" spans="11:11" x14ac:dyDescent="0.45">
      <c r="K150">
        <v>342681.97430615948</v>
      </c>
    </row>
    <row r="151" spans="11:11" x14ac:dyDescent="0.45">
      <c r="K151">
        <v>345532.20465361123</v>
      </c>
    </row>
    <row r="152" spans="11:11" x14ac:dyDescent="0.45">
      <c r="K152">
        <v>343861.34355035581</v>
      </c>
    </row>
    <row r="153" spans="11:11" x14ac:dyDescent="0.45">
      <c r="K153">
        <v>348078.6362405814</v>
      </c>
    </row>
    <row r="154" spans="11:11" x14ac:dyDescent="0.45">
      <c r="K154">
        <v>344507.82012632082</v>
      </c>
    </row>
    <row r="155" spans="11:11" x14ac:dyDescent="0.45">
      <c r="K155">
        <v>327272.37193298666</v>
      </c>
    </row>
    <row r="156" spans="11:11" x14ac:dyDescent="0.45">
      <c r="K156">
        <v>337267.29986267741</v>
      </c>
    </row>
    <row r="157" spans="11:11" x14ac:dyDescent="0.45">
      <c r="K157">
        <v>348959.0456325321</v>
      </c>
    </row>
    <row r="158" spans="11:11" x14ac:dyDescent="0.45">
      <c r="K158">
        <v>330853.86913293519</v>
      </c>
    </row>
    <row r="159" spans="11:11" x14ac:dyDescent="0.45">
      <c r="K159">
        <v>340605.55037637969</v>
      </c>
    </row>
    <row r="160" spans="11:11" x14ac:dyDescent="0.45">
      <c r="K160">
        <v>343773.98414939089</v>
      </c>
    </row>
    <row r="161" spans="11:11" x14ac:dyDescent="0.45">
      <c r="K161">
        <v>349322.08074625029</v>
      </c>
    </row>
    <row r="162" spans="11:11" x14ac:dyDescent="0.45">
      <c r="K162">
        <v>341924.17113725294</v>
      </c>
    </row>
    <row r="163" spans="11:11" x14ac:dyDescent="0.45">
      <c r="K163">
        <v>335354.93639051163</v>
      </c>
    </row>
    <row r="164" spans="11:11" x14ac:dyDescent="0.45">
      <c r="K164">
        <v>334692.7784175761</v>
      </c>
    </row>
    <row r="165" spans="11:11" x14ac:dyDescent="0.45">
      <c r="K165">
        <v>335572.77718028438</v>
      </c>
    </row>
    <row r="166" spans="11:11" x14ac:dyDescent="0.45">
      <c r="K166">
        <v>337572.01060289703</v>
      </c>
    </row>
    <row r="167" spans="11:11" x14ac:dyDescent="0.45">
      <c r="K167">
        <v>349803.58811683452</v>
      </c>
    </row>
    <row r="168" spans="11:11" x14ac:dyDescent="0.45">
      <c r="K168">
        <v>345843.25373461319</v>
      </c>
    </row>
    <row r="169" spans="11:11" x14ac:dyDescent="0.45">
      <c r="K169">
        <v>339818.72349661565</v>
      </c>
    </row>
    <row r="170" spans="11:11" x14ac:dyDescent="0.45">
      <c r="K170">
        <v>343669.03841037041</v>
      </c>
    </row>
    <row r="171" spans="11:11" x14ac:dyDescent="0.45">
      <c r="K171">
        <v>335257.26715449238</v>
      </c>
    </row>
    <row r="172" spans="11:11" x14ac:dyDescent="0.45">
      <c r="K172">
        <v>337119.34942065243</v>
      </c>
    </row>
    <row r="173" spans="11:11" x14ac:dyDescent="0.45">
      <c r="K173">
        <v>331419.48831566033</v>
      </c>
    </row>
    <row r="174" spans="11:11" x14ac:dyDescent="0.45">
      <c r="K174">
        <v>344053.00813894707</v>
      </c>
    </row>
    <row r="175" spans="11:11" x14ac:dyDescent="0.45">
      <c r="K175">
        <v>346315.48862921988</v>
      </c>
    </row>
    <row r="176" spans="11:11" x14ac:dyDescent="0.45">
      <c r="K176">
        <v>332996.32618118112</v>
      </c>
    </row>
    <row r="177" spans="11:11" x14ac:dyDescent="0.45">
      <c r="K177">
        <v>333929.67121974268</v>
      </c>
    </row>
    <row r="178" spans="11:11" x14ac:dyDescent="0.45">
      <c r="K178">
        <v>338506.00066316279</v>
      </c>
    </row>
    <row r="179" spans="11:11" x14ac:dyDescent="0.45">
      <c r="K179">
        <v>336559.03620153171</v>
      </c>
    </row>
    <row r="180" spans="11:11" x14ac:dyDescent="0.45">
      <c r="K180">
        <v>327678.26067145128</v>
      </c>
    </row>
    <row r="181" spans="11:11" x14ac:dyDescent="0.45">
      <c r="K181">
        <v>343352.89869112958</v>
      </c>
    </row>
    <row r="182" spans="11:11" x14ac:dyDescent="0.45">
      <c r="K182">
        <v>352610.69620454812</v>
      </c>
    </row>
    <row r="183" spans="11:11" x14ac:dyDescent="0.45">
      <c r="K183">
        <v>344226.08390914154</v>
      </c>
    </row>
    <row r="184" spans="11:11" x14ac:dyDescent="0.45">
      <c r="K184">
        <v>360144.13552275777</v>
      </c>
    </row>
    <row r="185" spans="11:11" x14ac:dyDescent="0.45">
      <c r="K185">
        <v>334520.52560234605</v>
      </c>
    </row>
    <row r="186" spans="11:11" x14ac:dyDescent="0.45">
      <c r="K186">
        <v>337454.96554575081</v>
      </c>
    </row>
    <row r="187" spans="11:11" x14ac:dyDescent="0.45">
      <c r="K187">
        <v>346144.94736857357</v>
      </c>
    </row>
    <row r="188" spans="11:11" x14ac:dyDescent="0.45">
      <c r="K188">
        <v>343946.96185395028</v>
      </c>
    </row>
    <row r="189" spans="11:11" x14ac:dyDescent="0.45">
      <c r="K189">
        <v>340759.85108563205</v>
      </c>
    </row>
    <row r="190" spans="11:11" x14ac:dyDescent="0.45">
      <c r="K190">
        <v>348074.8486984254</v>
      </c>
    </row>
    <row r="191" spans="11:11" x14ac:dyDescent="0.45">
      <c r="K191">
        <v>341561.27288171742</v>
      </c>
    </row>
    <row r="192" spans="11:11" x14ac:dyDescent="0.45">
      <c r="K192">
        <v>335704.82127702754</v>
      </c>
    </row>
    <row r="193" spans="11:11" x14ac:dyDescent="0.45">
      <c r="K193">
        <v>337696.7556346496</v>
      </c>
    </row>
    <row r="194" spans="11:11" x14ac:dyDescent="0.45">
      <c r="K194">
        <v>347854.93741408491</v>
      </c>
    </row>
    <row r="195" spans="11:11" x14ac:dyDescent="0.45">
      <c r="K195">
        <v>343065.31399842614</v>
      </c>
    </row>
    <row r="196" spans="11:11" x14ac:dyDescent="0.45">
      <c r="K196">
        <v>344407.45481840021</v>
      </c>
    </row>
    <row r="197" spans="11:11" x14ac:dyDescent="0.45">
      <c r="K197">
        <v>342495.43761029572</v>
      </c>
    </row>
    <row r="198" spans="11:11" x14ac:dyDescent="0.45">
      <c r="K198">
        <v>346455.89867381926</v>
      </c>
    </row>
    <row r="199" spans="11:11" x14ac:dyDescent="0.45">
      <c r="K199">
        <v>337039.37502903841</v>
      </c>
    </row>
    <row r="200" spans="11:11" x14ac:dyDescent="0.45">
      <c r="K200">
        <v>343486.88276753423</v>
      </c>
    </row>
    <row r="201" spans="11:11" x14ac:dyDescent="0.45">
      <c r="K201">
        <v>347448.15075559221</v>
      </c>
    </row>
    <row r="202" spans="11:11" x14ac:dyDescent="0.45">
      <c r="K202">
        <v>365527.01162164874</v>
      </c>
    </row>
    <row r="203" spans="11:11" x14ac:dyDescent="0.45">
      <c r="K203">
        <v>340773.02822023409</v>
      </c>
    </row>
    <row r="204" spans="11:11" x14ac:dyDescent="0.45">
      <c r="K204">
        <v>345470.16622452927</v>
      </c>
    </row>
    <row r="205" spans="11:11" x14ac:dyDescent="0.45">
      <c r="K205">
        <v>348395.57701891277</v>
      </c>
    </row>
    <row r="206" spans="11:11" x14ac:dyDescent="0.45">
      <c r="K206">
        <v>336096.03905605403</v>
      </c>
    </row>
    <row r="207" spans="11:11" x14ac:dyDescent="0.45">
      <c r="K207">
        <v>343923.94592420774</v>
      </c>
    </row>
    <row r="208" spans="11:11" x14ac:dyDescent="0.45">
      <c r="K208">
        <v>347782.01762972883</v>
      </c>
    </row>
    <row r="209" spans="11:11" x14ac:dyDescent="0.45">
      <c r="K209">
        <v>334151.76592976967</v>
      </c>
    </row>
    <row r="210" spans="11:11" x14ac:dyDescent="0.45">
      <c r="K210">
        <v>333032.73976747441</v>
      </c>
    </row>
    <row r="211" spans="11:11" x14ac:dyDescent="0.45">
      <c r="K211">
        <v>339822.26792438561</v>
      </c>
    </row>
    <row r="212" spans="11:11" x14ac:dyDescent="0.45">
      <c r="K212">
        <v>335293.60622306983</v>
      </c>
    </row>
    <row r="213" spans="11:11" x14ac:dyDescent="0.45">
      <c r="K213">
        <v>351827.14032001386</v>
      </c>
    </row>
    <row r="214" spans="11:11" x14ac:dyDescent="0.45">
      <c r="K214">
        <v>342117.26079261897</v>
      </c>
    </row>
    <row r="215" spans="11:11" x14ac:dyDescent="0.45">
      <c r="K215">
        <v>340151.58595149644</v>
      </c>
    </row>
    <row r="216" spans="11:11" x14ac:dyDescent="0.45">
      <c r="K216">
        <v>347119.6137276704</v>
      </c>
    </row>
    <row r="217" spans="11:11" x14ac:dyDescent="0.45">
      <c r="K217">
        <v>336554.93307411927</v>
      </c>
    </row>
    <row r="218" spans="11:11" x14ac:dyDescent="0.45">
      <c r="K218">
        <v>348545.43749413523</v>
      </c>
    </row>
    <row r="219" spans="11:11" x14ac:dyDescent="0.45">
      <c r="K219">
        <v>339252.31050438934</v>
      </c>
    </row>
    <row r="220" spans="11:11" x14ac:dyDescent="0.45">
      <c r="K220">
        <v>334409.02119548793</v>
      </c>
    </row>
    <row r="221" spans="11:11" x14ac:dyDescent="0.45">
      <c r="K221">
        <v>348969.2711415345</v>
      </c>
    </row>
    <row r="222" spans="11:11" x14ac:dyDescent="0.45">
      <c r="K222">
        <v>339605.9046976543</v>
      </c>
    </row>
    <row r="223" spans="11:11" x14ac:dyDescent="0.45">
      <c r="K223">
        <v>346957.97724078357</v>
      </c>
    </row>
    <row r="224" spans="11:11" x14ac:dyDescent="0.45">
      <c r="K224">
        <v>342412.80390028463</v>
      </c>
    </row>
    <row r="225" spans="11:11" x14ac:dyDescent="0.45">
      <c r="K225">
        <v>334280.43464021204</v>
      </c>
    </row>
    <row r="226" spans="11:11" x14ac:dyDescent="0.45">
      <c r="K226">
        <v>343458.45766579697</v>
      </c>
    </row>
    <row r="227" spans="11:11" x14ac:dyDescent="0.45">
      <c r="K227">
        <v>333997.66264920216</v>
      </c>
    </row>
    <row r="228" spans="11:11" x14ac:dyDescent="0.45">
      <c r="K228">
        <v>344666.17472638341</v>
      </c>
    </row>
    <row r="229" spans="11:11" x14ac:dyDescent="0.45">
      <c r="K229">
        <v>354888.19727498759</v>
      </c>
    </row>
    <row r="230" spans="11:11" x14ac:dyDescent="0.45">
      <c r="K230">
        <v>344212.87483308272</v>
      </c>
    </row>
    <row r="231" spans="11:11" x14ac:dyDescent="0.45">
      <c r="K231">
        <v>343740.43803294713</v>
      </c>
    </row>
    <row r="232" spans="11:11" x14ac:dyDescent="0.45">
      <c r="K232">
        <v>349034.80560749123</v>
      </c>
    </row>
    <row r="233" spans="11:11" x14ac:dyDescent="0.45">
      <c r="K233">
        <v>334954.92772826576</v>
      </c>
    </row>
    <row r="234" spans="11:11" x14ac:dyDescent="0.45">
      <c r="K234">
        <v>371421.42466559575</v>
      </c>
    </row>
    <row r="235" spans="11:11" x14ac:dyDescent="0.45">
      <c r="K235">
        <v>345982.37286230689</v>
      </c>
    </row>
    <row r="236" spans="11:11" x14ac:dyDescent="0.45">
      <c r="K236">
        <v>332781.19939848105</v>
      </c>
    </row>
    <row r="237" spans="11:11" x14ac:dyDescent="0.45">
      <c r="K237">
        <v>344424.31409130298</v>
      </c>
    </row>
    <row r="238" spans="11:11" x14ac:dyDescent="0.45">
      <c r="K238">
        <v>326465.47864740971</v>
      </c>
    </row>
    <row r="239" spans="11:11" x14ac:dyDescent="0.45">
      <c r="K239">
        <v>342595.76263820822</v>
      </c>
    </row>
    <row r="240" spans="11:11" x14ac:dyDescent="0.45">
      <c r="K240">
        <v>345209.07424908224</v>
      </c>
    </row>
    <row r="241" spans="11:11" x14ac:dyDescent="0.45">
      <c r="K241">
        <v>351586.77674096159</v>
      </c>
    </row>
    <row r="242" spans="11:11" x14ac:dyDescent="0.45">
      <c r="K242">
        <v>348061.77090177336</v>
      </c>
    </row>
    <row r="243" spans="11:11" x14ac:dyDescent="0.45">
      <c r="K243">
        <v>333055.98298767721</v>
      </c>
    </row>
    <row r="244" spans="11:11" x14ac:dyDescent="0.45">
      <c r="K244">
        <v>341247.95250259509</v>
      </c>
    </row>
    <row r="245" spans="11:11" x14ac:dyDescent="0.45">
      <c r="K245">
        <v>341884.67942880379</v>
      </c>
    </row>
    <row r="246" spans="11:11" x14ac:dyDescent="0.45">
      <c r="K246">
        <v>332174.39593655942</v>
      </c>
    </row>
    <row r="247" spans="11:11" x14ac:dyDescent="0.45">
      <c r="K247">
        <v>342017.89279894839</v>
      </c>
    </row>
    <row r="248" spans="11:11" x14ac:dyDescent="0.45">
      <c r="K248">
        <v>355599.05821999785</v>
      </c>
    </row>
    <row r="249" spans="11:11" x14ac:dyDescent="0.45">
      <c r="K249">
        <v>339587.18204842112</v>
      </c>
    </row>
    <row r="250" spans="11:11" x14ac:dyDescent="0.45">
      <c r="K250">
        <v>333056.34463489556</v>
      </c>
    </row>
    <row r="251" spans="11:11" x14ac:dyDescent="0.45">
      <c r="K251">
        <v>352343.96936048847</v>
      </c>
    </row>
    <row r="252" spans="11:11" x14ac:dyDescent="0.45">
      <c r="K252">
        <v>333967.43542203319</v>
      </c>
    </row>
    <row r="253" spans="11:11" x14ac:dyDescent="0.45">
      <c r="K253">
        <v>342079.42882288288</v>
      </c>
    </row>
    <row r="254" spans="11:11" x14ac:dyDescent="0.45">
      <c r="K254">
        <v>342899.10715306207</v>
      </c>
    </row>
    <row r="255" spans="11:11" x14ac:dyDescent="0.45">
      <c r="K255">
        <v>335514.9266373064</v>
      </c>
    </row>
    <row r="256" spans="11:11" x14ac:dyDescent="0.45">
      <c r="K256">
        <v>353027.3586268393</v>
      </c>
    </row>
    <row r="257" spans="11:11" x14ac:dyDescent="0.45">
      <c r="K257">
        <v>345657.59642020368</v>
      </c>
    </row>
    <row r="258" spans="11:11" x14ac:dyDescent="0.45">
      <c r="K258">
        <v>341073.61428568087</v>
      </c>
    </row>
    <row r="259" spans="11:11" x14ac:dyDescent="0.45">
      <c r="K259">
        <v>341028.29027980665</v>
      </c>
    </row>
    <row r="260" spans="11:11" x14ac:dyDescent="0.45">
      <c r="K260">
        <v>336183.88119276729</v>
      </c>
    </row>
    <row r="261" spans="11:11" x14ac:dyDescent="0.45">
      <c r="K261">
        <v>336853.72463029699</v>
      </c>
    </row>
    <row r="262" spans="11:11" x14ac:dyDescent="0.45">
      <c r="K262">
        <v>347790.73095607117</v>
      </c>
    </row>
    <row r="263" spans="11:11" x14ac:dyDescent="0.45">
      <c r="K263">
        <v>342496.4168586508</v>
      </c>
    </row>
    <row r="264" spans="11:11" x14ac:dyDescent="0.45">
      <c r="K264">
        <v>326362.44012347038</v>
      </c>
    </row>
    <row r="265" spans="11:11" x14ac:dyDescent="0.45">
      <c r="K265">
        <v>347201.8992927121</v>
      </c>
    </row>
    <row r="266" spans="11:11" x14ac:dyDescent="0.45">
      <c r="K266">
        <v>342176.81435258692</v>
      </c>
    </row>
    <row r="267" spans="11:11" x14ac:dyDescent="0.45">
      <c r="K267">
        <v>346665.85909386369</v>
      </c>
    </row>
    <row r="268" spans="11:11" x14ac:dyDescent="0.45">
      <c r="K268">
        <v>351768.50052827183</v>
      </c>
    </row>
    <row r="269" spans="11:11" x14ac:dyDescent="0.45">
      <c r="K269">
        <v>348426.63828623138</v>
      </c>
    </row>
    <row r="270" spans="11:11" x14ac:dyDescent="0.45">
      <c r="K270">
        <v>323000.6704438625</v>
      </c>
    </row>
    <row r="271" spans="11:11" x14ac:dyDescent="0.45">
      <c r="K271">
        <v>339744.49763955874</v>
      </c>
    </row>
    <row r="272" spans="11:11" x14ac:dyDescent="0.45">
      <c r="K272">
        <v>349082.89726019459</v>
      </c>
    </row>
    <row r="273" spans="11:11" x14ac:dyDescent="0.45">
      <c r="K273">
        <v>354854.60863845755</v>
      </c>
    </row>
    <row r="274" spans="11:11" x14ac:dyDescent="0.45">
      <c r="K274">
        <v>331957.11002396548</v>
      </c>
    </row>
    <row r="275" spans="11:11" x14ac:dyDescent="0.45">
      <c r="K275">
        <v>336797.39343238226</v>
      </c>
    </row>
    <row r="276" spans="11:11" x14ac:dyDescent="0.45">
      <c r="K276">
        <v>364212.37917846098</v>
      </c>
    </row>
    <row r="277" spans="11:11" x14ac:dyDescent="0.45">
      <c r="K277">
        <v>348475.72327227629</v>
      </c>
    </row>
    <row r="278" spans="11:11" x14ac:dyDescent="0.45">
      <c r="K278">
        <v>344571.18759414012</v>
      </c>
    </row>
    <row r="279" spans="11:11" x14ac:dyDescent="0.45">
      <c r="K279">
        <v>340643.60901871405</v>
      </c>
    </row>
    <row r="280" spans="11:11" x14ac:dyDescent="0.45">
      <c r="K280">
        <v>339061.38367579837</v>
      </c>
    </row>
    <row r="281" spans="11:11" x14ac:dyDescent="0.45">
      <c r="K281">
        <v>342334.28316784115</v>
      </c>
    </row>
    <row r="282" spans="11:11" x14ac:dyDescent="0.45">
      <c r="K282">
        <v>336065.40956658963</v>
      </c>
    </row>
    <row r="283" spans="11:11" x14ac:dyDescent="0.45">
      <c r="K283">
        <v>345368.71901007177</v>
      </c>
    </row>
    <row r="284" spans="11:11" x14ac:dyDescent="0.45">
      <c r="K284">
        <v>346236.21311358438</v>
      </c>
    </row>
    <row r="285" spans="11:11" x14ac:dyDescent="0.45">
      <c r="K285">
        <v>339354.76894150442</v>
      </c>
    </row>
    <row r="286" spans="11:11" x14ac:dyDescent="0.45">
      <c r="K286">
        <v>341428.63753699337</v>
      </c>
    </row>
    <row r="287" spans="11:11" x14ac:dyDescent="0.45">
      <c r="K287">
        <v>340524.74346038944</v>
      </c>
    </row>
    <row r="288" spans="11:11" x14ac:dyDescent="0.45">
      <c r="K288">
        <v>344735.36949040898</v>
      </c>
    </row>
    <row r="289" spans="11:11" x14ac:dyDescent="0.45">
      <c r="K289">
        <v>342956.37532884971</v>
      </c>
    </row>
    <row r="290" spans="11:11" x14ac:dyDescent="0.45">
      <c r="K290">
        <v>333885.91980901384</v>
      </c>
    </row>
    <row r="291" spans="11:11" x14ac:dyDescent="0.45">
      <c r="K291">
        <v>347975.14608647261</v>
      </c>
    </row>
    <row r="292" spans="11:11" x14ac:dyDescent="0.45">
      <c r="K292">
        <v>346643.45527527953</v>
      </c>
    </row>
    <row r="293" spans="11:11" x14ac:dyDescent="0.45">
      <c r="K293">
        <v>341621.06923918118</v>
      </c>
    </row>
    <row r="294" spans="11:11" x14ac:dyDescent="0.45">
      <c r="K294">
        <v>334238.50089326838</v>
      </c>
    </row>
    <row r="295" spans="11:11" x14ac:dyDescent="0.45">
      <c r="K295">
        <v>345221.69796298037</v>
      </c>
    </row>
    <row r="296" spans="11:11" x14ac:dyDescent="0.45">
      <c r="K296">
        <v>344932.37534451799</v>
      </c>
    </row>
    <row r="297" spans="11:11" x14ac:dyDescent="0.45">
      <c r="K297">
        <v>336367.85700605065</v>
      </c>
    </row>
    <row r="298" spans="11:11" x14ac:dyDescent="0.45">
      <c r="K298">
        <v>363851.14775855083</v>
      </c>
    </row>
    <row r="299" spans="11:11" x14ac:dyDescent="0.45">
      <c r="K299">
        <v>341354.62561445375</v>
      </c>
    </row>
    <row r="300" spans="11:11" x14ac:dyDescent="0.45">
      <c r="K300">
        <v>343334.62276696262</v>
      </c>
    </row>
    <row r="301" spans="11:11" x14ac:dyDescent="0.45">
      <c r="K301">
        <v>340436.79759828065</v>
      </c>
    </row>
    <row r="302" spans="11:11" x14ac:dyDescent="0.45">
      <c r="K302">
        <v>340093.54783543636</v>
      </c>
    </row>
    <row r="303" spans="11:11" x14ac:dyDescent="0.45">
      <c r="K303">
        <v>342408.31243008922</v>
      </c>
    </row>
    <row r="304" spans="11:11" x14ac:dyDescent="0.45">
      <c r="K304">
        <v>330967.06908037723</v>
      </c>
    </row>
    <row r="305" spans="11:11" x14ac:dyDescent="0.45">
      <c r="K305">
        <v>339608.72464551526</v>
      </c>
    </row>
    <row r="306" spans="11:11" x14ac:dyDescent="0.45">
      <c r="K306">
        <v>356132.15861163515</v>
      </c>
    </row>
    <row r="307" spans="11:11" x14ac:dyDescent="0.45">
      <c r="K307">
        <v>339856.7871277947</v>
      </c>
    </row>
    <row r="308" spans="11:11" x14ac:dyDescent="0.45">
      <c r="K308">
        <v>336299.25449533196</v>
      </c>
    </row>
    <row r="309" spans="11:11" x14ac:dyDescent="0.45">
      <c r="K309">
        <v>331970.12492222182</v>
      </c>
    </row>
    <row r="310" spans="11:11" x14ac:dyDescent="0.45">
      <c r="K310">
        <v>347022.20701019448</v>
      </c>
    </row>
    <row r="311" spans="11:11" x14ac:dyDescent="0.45">
      <c r="K311">
        <v>335770.56977157231</v>
      </c>
    </row>
    <row r="312" spans="11:11" x14ac:dyDescent="0.45">
      <c r="K312">
        <v>352836.3292465359</v>
      </c>
    </row>
    <row r="313" spans="11:11" x14ac:dyDescent="0.45">
      <c r="K313">
        <v>339926.86835387436</v>
      </c>
    </row>
    <row r="314" spans="11:11" x14ac:dyDescent="0.45">
      <c r="K314">
        <v>351721.81166266731</v>
      </c>
    </row>
    <row r="315" spans="11:11" x14ac:dyDescent="0.45">
      <c r="K315">
        <v>343530.99258264981</v>
      </c>
    </row>
    <row r="316" spans="11:11" x14ac:dyDescent="0.45">
      <c r="K316">
        <v>352109.14589964115</v>
      </c>
    </row>
    <row r="317" spans="11:11" x14ac:dyDescent="0.45">
      <c r="K317">
        <v>339163.50934125925</v>
      </c>
    </row>
    <row r="318" spans="11:11" x14ac:dyDescent="0.45">
      <c r="K318">
        <v>332904.79838940315</v>
      </c>
    </row>
    <row r="319" spans="11:11" x14ac:dyDescent="0.45">
      <c r="K319">
        <v>320528.20188497496</v>
      </c>
    </row>
    <row r="320" spans="11:11" x14ac:dyDescent="0.45">
      <c r="K320">
        <v>341389.6811643457</v>
      </c>
    </row>
    <row r="321" spans="11:11" x14ac:dyDescent="0.45">
      <c r="K321">
        <v>354129.17967519228</v>
      </c>
    </row>
    <row r="322" spans="11:11" x14ac:dyDescent="0.45">
      <c r="K322">
        <v>335592.99358472793</v>
      </c>
    </row>
    <row r="323" spans="11:11" x14ac:dyDescent="0.45">
      <c r="K323">
        <v>342242.30974611768</v>
      </c>
    </row>
    <row r="324" spans="11:11" x14ac:dyDescent="0.45">
      <c r="K324">
        <v>333559.00005620031</v>
      </c>
    </row>
    <row r="325" spans="11:11" x14ac:dyDescent="0.45">
      <c r="K325">
        <v>329006.61273619701</v>
      </c>
    </row>
    <row r="326" spans="11:11" x14ac:dyDescent="0.45">
      <c r="K326">
        <v>339977.26737212716</v>
      </c>
    </row>
    <row r="327" spans="11:11" x14ac:dyDescent="0.45">
      <c r="K327">
        <v>332432.81395234581</v>
      </c>
    </row>
    <row r="328" spans="11:11" x14ac:dyDescent="0.45">
      <c r="K328">
        <v>342947.04526372883</v>
      </c>
    </row>
    <row r="329" spans="11:11" x14ac:dyDescent="0.45">
      <c r="K329">
        <v>346879.2580714309</v>
      </c>
    </row>
    <row r="330" spans="11:11" x14ac:dyDescent="0.45">
      <c r="K330">
        <v>337662.97409052297</v>
      </c>
    </row>
    <row r="331" spans="11:11" x14ac:dyDescent="0.45">
      <c r="K331">
        <v>343614.10902972135</v>
      </c>
    </row>
    <row r="332" spans="11:11" x14ac:dyDescent="0.45">
      <c r="K332">
        <v>337018.6194860104</v>
      </c>
    </row>
    <row r="333" spans="11:11" x14ac:dyDescent="0.45">
      <c r="K333">
        <v>342910.59489454731</v>
      </c>
    </row>
    <row r="334" spans="11:11" x14ac:dyDescent="0.45">
      <c r="K334">
        <v>344287.80566232983</v>
      </c>
    </row>
    <row r="335" spans="11:11" x14ac:dyDescent="0.45">
      <c r="K335">
        <v>348053.51317537995</v>
      </c>
    </row>
    <row r="336" spans="11:11" x14ac:dyDescent="0.45">
      <c r="K336">
        <v>331414.95838865446</v>
      </c>
    </row>
    <row r="337" spans="11:11" x14ac:dyDescent="0.45">
      <c r="K337">
        <v>346878.3190698924</v>
      </c>
    </row>
    <row r="338" spans="11:11" x14ac:dyDescent="0.45">
      <c r="K338">
        <v>353705.65448386362</v>
      </c>
    </row>
    <row r="339" spans="11:11" x14ac:dyDescent="0.45">
      <c r="K339">
        <v>343915.3068921364</v>
      </c>
    </row>
    <row r="340" spans="11:11" x14ac:dyDescent="0.45">
      <c r="K340">
        <v>356614.28204760875</v>
      </c>
    </row>
    <row r="341" spans="11:11" x14ac:dyDescent="0.45">
      <c r="K341">
        <v>350336.07029363886</v>
      </c>
    </row>
    <row r="342" spans="11:11" x14ac:dyDescent="0.45">
      <c r="K342">
        <v>341740.82182726305</v>
      </c>
    </row>
    <row r="343" spans="11:11" x14ac:dyDescent="0.45">
      <c r="K343">
        <v>348827.90732575016</v>
      </c>
    </row>
    <row r="344" spans="11:11" x14ac:dyDescent="0.45">
      <c r="K344">
        <v>335861.78908040893</v>
      </c>
    </row>
    <row r="345" spans="11:11" x14ac:dyDescent="0.45">
      <c r="K345">
        <v>326174.76560662908</v>
      </c>
    </row>
    <row r="346" spans="11:11" x14ac:dyDescent="0.45">
      <c r="K346">
        <v>351179.19016857079</v>
      </c>
    </row>
    <row r="347" spans="11:11" x14ac:dyDescent="0.45">
      <c r="K347">
        <v>334847.32708260335</v>
      </c>
    </row>
    <row r="348" spans="11:11" x14ac:dyDescent="0.45">
      <c r="K348">
        <v>358979.7833506249</v>
      </c>
    </row>
    <row r="349" spans="11:11" x14ac:dyDescent="0.45">
      <c r="K349">
        <v>344585.58604753524</v>
      </c>
    </row>
    <row r="350" spans="11:11" x14ac:dyDescent="0.45">
      <c r="K350">
        <v>328910.65014995245</v>
      </c>
    </row>
    <row r="351" spans="11:11" x14ac:dyDescent="0.45">
      <c r="K351">
        <v>346652.11238331022</v>
      </c>
    </row>
    <row r="352" spans="11:11" x14ac:dyDescent="0.45">
      <c r="K352">
        <v>325461.06567884854</v>
      </c>
    </row>
    <row r="353" spans="11:11" x14ac:dyDescent="0.45">
      <c r="K353">
        <v>337377.97650891065</v>
      </c>
    </row>
    <row r="354" spans="11:11" x14ac:dyDescent="0.45">
      <c r="K354">
        <v>345451.16789525578</v>
      </c>
    </row>
    <row r="355" spans="11:11" x14ac:dyDescent="0.45">
      <c r="K355">
        <v>353287.1746510049</v>
      </c>
    </row>
    <row r="356" spans="11:11" x14ac:dyDescent="0.45">
      <c r="K356">
        <v>354792.08829070721</v>
      </c>
    </row>
    <row r="357" spans="11:11" x14ac:dyDescent="0.45">
      <c r="K357">
        <v>338879.57842047425</v>
      </c>
    </row>
    <row r="358" spans="11:11" x14ac:dyDescent="0.45">
      <c r="K358">
        <v>345338.79050989455</v>
      </c>
    </row>
    <row r="359" spans="11:11" x14ac:dyDescent="0.45">
      <c r="K359">
        <v>336071.1476267869</v>
      </c>
    </row>
    <row r="360" spans="11:11" x14ac:dyDescent="0.45">
      <c r="K360">
        <v>334952.41032572283</v>
      </c>
    </row>
    <row r="361" spans="11:11" x14ac:dyDescent="0.45">
      <c r="K361">
        <v>339351.90747003083</v>
      </c>
    </row>
    <row r="362" spans="11:11" x14ac:dyDescent="0.45">
      <c r="K362">
        <v>353619.34211092716</v>
      </c>
    </row>
    <row r="363" spans="11:11" x14ac:dyDescent="0.45">
      <c r="K363">
        <v>332788.0396874476</v>
      </c>
    </row>
    <row r="364" spans="11:11" x14ac:dyDescent="0.45">
      <c r="K364">
        <v>337876.81468858942</v>
      </c>
    </row>
    <row r="365" spans="11:11" x14ac:dyDescent="0.45">
      <c r="K365">
        <v>347619.78565061087</v>
      </c>
    </row>
    <row r="366" spans="11:11" x14ac:dyDescent="0.45">
      <c r="K366">
        <v>342402.03329332743</v>
      </c>
    </row>
    <row r="367" spans="11:11" x14ac:dyDescent="0.45">
      <c r="K367">
        <v>341178.86023865256</v>
      </c>
    </row>
    <row r="368" spans="11:11" x14ac:dyDescent="0.45">
      <c r="K368">
        <v>343892.23513454862</v>
      </c>
    </row>
    <row r="369" spans="11:11" x14ac:dyDescent="0.45">
      <c r="K369">
        <v>351385.97150583705</v>
      </c>
    </row>
    <row r="370" spans="11:11" x14ac:dyDescent="0.45">
      <c r="K370">
        <v>345637.92450026213</v>
      </c>
    </row>
    <row r="371" spans="11:11" x14ac:dyDescent="0.45">
      <c r="K371">
        <v>342714.98600775667</v>
      </c>
    </row>
    <row r="372" spans="11:11" x14ac:dyDescent="0.45">
      <c r="K372">
        <v>347657.13467403053</v>
      </c>
    </row>
    <row r="373" spans="11:11" x14ac:dyDescent="0.45">
      <c r="K373">
        <v>346618.4198395178</v>
      </c>
    </row>
    <row r="374" spans="11:11" x14ac:dyDescent="0.45">
      <c r="K374">
        <v>333932.18790660403</v>
      </c>
    </row>
    <row r="375" spans="11:11" x14ac:dyDescent="0.45">
      <c r="K375">
        <v>332655.9575831815</v>
      </c>
    </row>
    <row r="376" spans="11:11" x14ac:dyDescent="0.45">
      <c r="K376">
        <v>339530.99009140214</v>
      </c>
    </row>
    <row r="377" spans="11:11" x14ac:dyDescent="0.45">
      <c r="K377">
        <v>335036.50727705617</v>
      </c>
    </row>
    <row r="378" spans="11:11" x14ac:dyDescent="0.45">
      <c r="K378">
        <v>344646.99285792478</v>
      </c>
    </row>
    <row r="379" spans="11:11" x14ac:dyDescent="0.45">
      <c r="K379">
        <v>347875.8647190904</v>
      </c>
    </row>
    <row r="380" spans="11:11" x14ac:dyDescent="0.45">
      <c r="K380">
        <v>350060.79605585249</v>
      </c>
    </row>
    <row r="381" spans="11:11" x14ac:dyDescent="0.45">
      <c r="K381">
        <v>326198.43829745974</v>
      </c>
    </row>
    <row r="382" spans="11:11" x14ac:dyDescent="0.45">
      <c r="K382">
        <v>351929.49471521913</v>
      </c>
    </row>
    <row r="383" spans="11:11" x14ac:dyDescent="0.45">
      <c r="K383">
        <v>355469.50520077476</v>
      </c>
    </row>
    <row r="384" spans="11:11" x14ac:dyDescent="0.45">
      <c r="K384">
        <v>340828.08989554673</v>
      </c>
    </row>
    <row r="385" spans="11:11" x14ac:dyDescent="0.45">
      <c r="K385">
        <v>351065.88123267458</v>
      </c>
    </row>
    <row r="386" spans="11:11" x14ac:dyDescent="0.45">
      <c r="K386">
        <v>356488.11593596346</v>
      </c>
    </row>
    <row r="387" spans="11:11" x14ac:dyDescent="0.45">
      <c r="K387">
        <v>350553.67592801107</v>
      </c>
    </row>
    <row r="388" spans="11:11" x14ac:dyDescent="0.45">
      <c r="K388">
        <v>338351.59661972418</v>
      </c>
    </row>
    <row r="389" spans="11:11" x14ac:dyDescent="0.45">
      <c r="K389">
        <v>332403.68870757462</v>
      </c>
    </row>
    <row r="390" spans="11:11" x14ac:dyDescent="0.45">
      <c r="K390">
        <v>338577.56169779424</v>
      </c>
    </row>
    <row r="391" spans="11:11" x14ac:dyDescent="0.45">
      <c r="K391">
        <v>341864.03506131872</v>
      </c>
    </row>
    <row r="392" spans="11:11" x14ac:dyDescent="0.45">
      <c r="K392">
        <v>343854.88574949413</v>
      </c>
    </row>
    <row r="393" spans="11:11" x14ac:dyDescent="0.45">
      <c r="K393">
        <v>354715.90618501953</v>
      </c>
    </row>
    <row r="394" spans="11:11" x14ac:dyDescent="0.45">
      <c r="K394">
        <v>327283.78830241697</v>
      </c>
    </row>
    <row r="395" spans="11:11" x14ac:dyDescent="0.45">
      <c r="K395">
        <v>335431.87437389896</v>
      </c>
    </row>
    <row r="396" spans="11:11" x14ac:dyDescent="0.45">
      <c r="K396">
        <v>347260.56621608126</v>
      </c>
    </row>
    <row r="397" spans="11:11" x14ac:dyDescent="0.45">
      <c r="K397">
        <v>325222.10867445241</v>
      </c>
    </row>
    <row r="398" spans="11:11" x14ac:dyDescent="0.45">
      <c r="K398">
        <v>336532.44417574134</v>
      </c>
    </row>
    <row r="399" spans="11:11" x14ac:dyDescent="0.45">
      <c r="K399">
        <v>345829.96200645785</v>
      </c>
    </row>
    <row r="400" spans="11:11" x14ac:dyDescent="0.45">
      <c r="K400">
        <v>346973.19092267985</v>
      </c>
    </row>
    <row r="401" spans="11:11" x14ac:dyDescent="0.45">
      <c r="K401">
        <v>337412.01601349365</v>
      </c>
    </row>
    <row r="402" spans="11:11" x14ac:dyDescent="0.45">
      <c r="K402">
        <v>332888.97312377533</v>
      </c>
    </row>
    <row r="403" spans="11:11" x14ac:dyDescent="0.45">
      <c r="K403">
        <v>336696.11322395381</v>
      </c>
    </row>
    <row r="404" spans="11:11" x14ac:dyDescent="0.45">
      <c r="K404">
        <v>333047.57346513995</v>
      </c>
    </row>
    <row r="405" spans="11:11" x14ac:dyDescent="0.45">
      <c r="K405">
        <v>345849.08771643328</v>
      </c>
    </row>
    <row r="406" spans="11:11" x14ac:dyDescent="0.45">
      <c r="K406">
        <v>340481.6085584893</v>
      </c>
    </row>
    <row r="407" spans="11:11" x14ac:dyDescent="0.45">
      <c r="K407">
        <v>338672.13985795033</v>
      </c>
    </row>
    <row r="408" spans="11:11" x14ac:dyDescent="0.45">
      <c r="K408">
        <v>339720.01879572746</v>
      </c>
    </row>
    <row r="409" spans="11:11" x14ac:dyDescent="0.45">
      <c r="K409">
        <v>350816.3078490175</v>
      </c>
    </row>
    <row r="410" spans="11:11" x14ac:dyDescent="0.45">
      <c r="K410">
        <v>341212.47064841667</v>
      </c>
    </row>
    <row r="411" spans="11:11" x14ac:dyDescent="0.45">
      <c r="K411">
        <v>323222.09083794826</v>
      </c>
    </row>
    <row r="412" spans="11:11" x14ac:dyDescent="0.45">
      <c r="K412">
        <v>346896.52737148188</v>
      </c>
    </row>
    <row r="413" spans="11:11" x14ac:dyDescent="0.45">
      <c r="K413">
        <v>357105.17314019764</v>
      </c>
    </row>
    <row r="414" spans="11:11" x14ac:dyDescent="0.45">
      <c r="K414">
        <v>332301.72843916243</v>
      </c>
    </row>
    <row r="415" spans="11:11" x14ac:dyDescent="0.45">
      <c r="K415">
        <v>341683.89958642278</v>
      </c>
    </row>
    <row r="416" spans="11:11" x14ac:dyDescent="0.45">
      <c r="K416">
        <v>337751.63442583696</v>
      </c>
    </row>
    <row r="417" spans="11:11" x14ac:dyDescent="0.45">
      <c r="K417">
        <v>334670.1796627256</v>
      </c>
    </row>
    <row r="418" spans="11:11" x14ac:dyDescent="0.45">
      <c r="K418">
        <v>337615.2157094159</v>
      </c>
    </row>
    <row r="419" spans="11:11" x14ac:dyDescent="0.45">
      <c r="K419">
        <v>350484.85005354031</v>
      </c>
    </row>
    <row r="420" spans="11:11" x14ac:dyDescent="0.45">
      <c r="K420">
        <v>339241.29976698663</v>
      </c>
    </row>
    <row r="421" spans="11:11" x14ac:dyDescent="0.45">
      <c r="K421">
        <v>328032.87282803422</v>
      </c>
    </row>
    <row r="422" spans="11:11" x14ac:dyDescent="0.45">
      <c r="K422">
        <v>329486.86146991665</v>
      </c>
    </row>
    <row r="423" spans="11:11" x14ac:dyDescent="0.45">
      <c r="K423">
        <v>331559.83816833998</v>
      </c>
    </row>
    <row r="424" spans="11:11" x14ac:dyDescent="0.45">
      <c r="K424">
        <v>346326.12660980225</v>
      </c>
    </row>
    <row r="425" spans="11:11" x14ac:dyDescent="0.45">
      <c r="K425">
        <v>338619.58179587696</v>
      </c>
    </row>
    <row r="426" spans="11:11" x14ac:dyDescent="0.45">
      <c r="K426">
        <v>344281.09627543099</v>
      </c>
    </row>
    <row r="427" spans="11:11" x14ac:dyDescent="0.45">
      <c r="K427">
        <v>338459.61855325609</v>
      </c>
    </row>
    <row r="428" spans="11:11" x14ac:dyDescent="0.45">
      <c r="K428">
        <v>345589.17714689596</v>
      </c>
    </row>
    <row r="429" spans="11:11" x14ac:dyDescent="0.45">
      <c r="K429">
        <v>341235.53603366739</v>
      </c>
    </row>
    <row r="430" spans="11:11" x14ac:dyDescent="0.45">
      <c r="K430">
        <v>354566.22553760192</v>
      </c>
    </row>
    <row r="431" spans="11:11" x14ac:dyDescent="0.45">
      <c r="K431">
        <v>344364.72656975721</v>
      </c>
    </row>
    <row r="432" spans="11:11" x14ac:dyDescent="0.45">
      <c r="K432">
        <v>340857.3154019583</v>
      </c>
    </row>
    <row r="433" spans="11:11" x14ac:dyDescent="0.45">
      <c r="K433">
        <v>346842.35905022803</v>
      </c>
    </row>
    <row r="434" spans="11:11" x14ac:dyDescent="0.45">
      <c r="K434">
        <v>344872.67743944027</v>
      </c>
    </row>
    <row r="435" spans="11:11" x14ac:dyDescent="0.45">
      <c r="K435">
        <v>359288.66515439888</v>
      </c>
    </row>
    <row r="436" spans="11:11" x14ac:dyDescent="0.45">
      <c r="K436">
        <v>336344.84999493597</v>
      </c>
    </row>
    <row r="437" spans="11:11" x14ac:dyDescent="0.45">
      <c r="K437">
        <v>345602.6402465867</v>
      </c>
    </row>
    <row r="438" spans="11:11" x14ac:dyDescent="0.45">
      <c r="K438">
        <v>340437.80007133668</v>
      </c>
    </row>
    <row r="439" spans="11:11" x14ac:dyDescent="0.45">
      <c r="K439">
        <v>335946.85715428292</v>
      </c>
    </row>
    <row r="440" spans="11:11" x14ac:dyDescent="0.45">
      <c r="K440">
        <v>354794.1975864452</v>
      </c>
    </row>
    <row r="441" spans="11:11" x14ac:dyDescent="0.45">
      <c r="K441">
        <v>340079.5588727821</v>
      </c>
    </row>
    <row r="442" spans="11:11" x14ac:dyDescent="0.45">
      <c r="K442">
        <v>338204.12458197883</v>
      </c>
    </row>
    <row r="443" spans="11:11" x14ac:dyDescent="0.45">
      <c r="K443">
        <v>333247.57568287378</v>
      </c>
    </row>
    <row r="444" spans="11:11" x14ac:dyDescent="0.45">
      <c r="K444">
        <v>332629.87986996281</v>
      </c>
    </row>
    <row r="445" spans="11:11" x14ac:dyDescent="0.45">
      <c r="K445">
        <v>347154.80603271181</v>
      </c>
    </row>
    <row r="446" spans="11:11" x14ac:dyDescent="0.45">
      <c r="K446">
        <v>349642.49470536615</v>
      </c>
    </row>
    <row r="447" spans="11:11" x14ac:dyDescent="0.45">
      <c r="K447">
        <v>338734.40149330389</v>
      </c>
    </row>
    <row r="448" spans="11:11" x14ac:dyDescent="0.45">
      <c r="K448">
        <v>349999.27581345744</v>
      </c>
    </row>
    <row r="449" spans="11:11" x14ac:dyDescent="0.45">
      <c r="K449">
        <v>342605.86267518037</v>
      </c>
    </row>
    <row r="450" spans="11:11" x14ac:dyDescent="0.45">
      <c r="K450">
        <v>337506.16214254935</v>
      </c>
    </row>
    <row r="451" spans="11:11" x14ac:dyDescent="0.45">
      <c r="K451">
        <v>344404.22156772489</v>
      </c>
    </row>
    <row r="452" spans="11:11" x14ac:dyDescent="0.45">
      <c r="K452">
        <v>331331.06792360876</v>
      </c>
    </row>
    <row r="453" spans="11:11" x14ac:dyDescent="0.45">
      <c r="K453">
        <v>350187.69013669482</v>
      </c>
    </row>
    <row r="454" spans="11:11" x14ac:dyDescent="0.45">
      <c r="K454">
        <v>338914.33135485352</v>
      </c>
    </row>
    <row r="455" spans="11:11" x14ac:dyDescent="0.45">
      <c r="K455">
        <v>343379.5230770997</v>
      </c>
    </row>
    <row r="456" spans="11:11" x14ac:dyDescent="0.45">
      <c r="K456">
        <v>343875.82396574842</v>
      </c>
    </row>
    <row r="457" spans="11:11" x14ac:dyDescent="0.45">
      <c r="K457">
        <v>341262.0512445062</v>
      </c>
    </row>
    <row r="458" spans="11:11" x14ac:dyDescent="0.45">
      <c r="K458">
        <v>342064.44494384917</v>
      </c>
    </row>
    <row r="459" spans="11:11" x14ac:dyDescent="0.45">
      <c r="K459">
        <v>343042.48334845575</v>
      </c>
    </row>
    <row r="460" spans="11:11" x14ac:dyDescent="0.45">
      <c r="K460">
        <v>342939.68018003274</v>
      </c>
    </row>
    <row r="461" spans="11:11" x14ac:dyDescent="0.45">
      <c r="K461">
        <v>337547.90871676686</v>
      </c>
    </row>
    <row r="462" spans="11:11" x14ac:dyDescent="0.45">
      <c r="K462">
        <v>351611.5823295241</v>
      </c>
    </row>
    <row r="463" spans="11:11" x14ac:dyDescent="0.45">
      <c r="K463">
        <v>352602.66015988798</v>
      </c>
    </row>
    <row r="464" spans="11:11" x14ac:dyDescent="0.45">
      <c r="K464">
        <v>345625.84117023001</v>
      </c>
    </row>
    <row r="465" spans="11:11" x14ac:dyDescent="0.45">
      <c r="K465">
        <v>336079.50608103914</v>
      </c>
    </row>
    <row r="466" spans="11:11" x14ac:dyDescent="0.45">
      <c r="K466">
        <v>333296.40944249532</v>
      </c>
    </row>
    <row r="467" spans="11:11" x14ac:dyDescent="0.45">
      <c r="K467">
        <v>340712.37036510766</v>
      </c>
    </row>
    <row r="468" spans="11:11" x14ac:dyDescent="0.45">
      <c r="K468">
        <v>337019.14557857986</v>
      </c>
    </row>
    <row r="469" spans="11:11" x14ac:dyDescent="0.45">
      <c r="K469">
        <v>341365.08875436522</v>
      </c>
    </row>
    <row r="470" spans="11:11" x14ac:dyDescent="0.45">
      <c r="K470">
        <v>342613.8751720094</v>
      </c>
    </row>
    <row r="471" spans="11:11" x14ac:dyDescent="0.45">
      <c r="K471">
        <v>344086.24176347553</v>
      </c>
    </row>
    <row r="472" spans="11:11" x14ac:dyDescent="0.45">
      <c r="K472">
        <v>345307.22357748647</v>
      </c>
    </row>
    <row r="473" spans="11:11" x14ac:dyDescent="0.45">
      <c r="K473">
        <v>338441.54871155467</v>
      </c>
    </row>
    <row r="474" spans="11:11" x14ac:dyDescent="0.45">
      <c r="K474">
        <v>342820.86121096654</v>
      </c>
    </row>
    <row r="475" spans="11:11" x14ac:dyDescent="0.45">
      <c r="K475">
        <v>344011.40628193511</v>
      </c>
    </row>
    <row r="476" spans="11:11" x14ac:dyDescent="0.45">
      <c r="K476">
        <v>345238.19426135242</v>
      </c>
    </row>
    <row r="477" spans="11:11" x14ac:dyDescent="0.45">
      <c r="K477">
        <v>347018.7445792713</v>
      </c>
    </row>
    <row r="478" spans="11:11" x14ac:dyDescent="0.45">
      <c r="K478">
        <v>345325.94430760865</v>
      </c>
    </row>
    <row r="479" spans="11:11" x14ac:dyDescent="0.45">
      <c r="K479">
        <v>346012.70868936885</v>
      </c>
    </row>
    <row r="480" spans="11:11" x14ac:dyDescent="0.45">
      <c r="K480">
        <v>346873.71838415513</v>
      </c>
    </row>
    <row r="481" spans="11:11" x14ac:dyDescent="0.45">
      <c r="K481">
        <v>331200.32758458925</v>
      </c>
    </row>
    <row r="482" spans="11:11" x14ac:dyDescent="0.45">
      <c r="K482">
        <v>357755.86697997723</v>
      </c>
    </row>
    <row r="483" spans="11:11" x14ac:dyDescent="0.45">
      <c r="K483">
        <v>351356.53868638608</v>
      </c>
    </row>
    <row r="484" spans="11:11" x14ac:dyDescent="0.45">
      <c r="K484">
        <v>335790.04406857246</v>
      </c>
    </row>
    <row r="485" spans="11:11" x14ac:dyDescent="0.45">
      <c r="K485">
        <v>335406.83434778848</v>
      </c>
    </row>
    <row r="486" spans="11:11" x14ac:dyDescent="0.45">
      <c r="K486">
        <v>341135.96219409461</v>
      </c>
    </row>
    <row r="487" spans="11:11" x14ac:dyDescent="0.45">
      <c r="K487">
        <v>344660.80942614621</v>
      </c>
    </row>
    <row r="488" spans="11:11" x14ac:dyDescent="0.45">
      <c r="K488">
        <v>334941.49256331992</v>
      </c>
    </row>
    <row r="489" spans="11:11" x14ac:dyDescent="0.45">
      <c r="K489">
        <v>333432.98595703777</v>
      </c>
    </row>
    <row r="490" spans="11:11" x14ac:dyDescent="0.45">
      <c r="K490">
        <v>330608.25729087181</v>
      </c>
    </row>
    <row r="491" spans="11:11" x14ac:dyDescent="0.45">
      <c r="K491">
        <v>342340.33941547194</v>
      </c>
    </row>
    <row r="492" spans="11:11" x14ac:dyDescent="0.45">
      <c r="K492">
        <v>342076.92272944265</v>
      </c>
    </row>
    <row r="493" spans="11:11" x14ac:dyDescent="0.45">
      <c r="K493">
        <v>344271.9260532179</v>
      </c>
    </row>
    <row r="494" spans="11:11" x14ac:dyDescent="0.45">
      <c r="K494">
        <v>345719.99381888454</v>
      </c>
    </row>
    <row r="495" spans="11:11" x14ac:dyDescent="0.45">
      <c r="K495">
        <v>334561.68752676365</v>
      </c>
    </row>
    <row r="496" spans="11:11" x14ac:dyDescent="0.45">
      <c r="K496">
        <v>344668.23969621706</v>
      </c>
    </row>
    <row r="497" spans="11:11" x14ac:dyDescent="0.45">
      <c r="K497">
        <v>350910.80141116795</v>
      </c>
    </row>
    <row r="498" spans="11:11" x14ac:dyDescent="0.45">
      <c r="K498">
        <v>338253.84156881034</v>
      </c>
    </row>
    <row r="499" spans="11:11" x14ac:dyDescent="0.45">
      <c r="K499">
        <v>354516.34482252249</v>
      </c>
    </row>
    <row r="500" spans="11:11" x14ac:dyDescent="0.45">
      <c r="K500">
        <v>333666.73355625855</v>
      </c>
    </row>
    <row r="501" spans="11:11" x14ac:dyDescent="0.45">
      <c r="K501">
        <v>337712.78673252178</v>
      </c>
    </row>
    <row r="502" spans="11:11" x14ac:dyDescent="0.45">
      <c r="K502">
        <v>344412.86798033351</v>
      </c>
    </row>
    <row r="503" spans="11:11" x14ac:dyDescent="0.45">
      <c r="K503">
        <v>351895.48485305632</v>
      </c>
    </row>
    <row r="504" spans="11:11" x14ac:dyDescent="0.45">
      <c r="K504">
        <v>339611.92754139367</v>
      </c>
    </row>
    <row r="505" spans="11:11" x14ac:dyDescent="0.45">
      <c r="K505">
        <v>336351.70072690159</v>
      </c>
    </row>
    <row r="506" spans="11:11" x14ac:dyDescent="0.45">
      <c r="K506">
        <v>334346.5193131229</v>
      </c>
    </row>
    <row r="507" spans="11:11" x14ac:dyDescent="0.45">
      <c r="K507">
        <v>342768.88341223728</v>
      </c>
    </row>
    <row r="508" spans="11:11" x14ac:dyDescent="0.45">
      <c r="K508">
        <v>351437.29367565131</v>
      </c>
    </row>
    <row r="509" spans="11:11" x14ac:dyDescent="0.45">
      <c r="K509">
        <v>352735.53931472107</v>
      </c>
    </row>
    <row r="510" spans="11:11" x14ac:dyDescent="0.45">
      <c r="K510">
        <v>343013.80867243948</v>
      </c>
    </row>
    <row r="511" spans="11:11" x14ac:dyDescent="0.45">
      <c r="K511">
        <v>342106.93206618441</v>
      </c>
    </row>
    <row r="512" spans="11:11" x14ac:dyDescent="0.45">
      <c r="K512">
        <v>348195.13720516575</v>
      </c>
    </row>
    <row r="513" spans="11:11" x14ac:dyDescent="0.45">
      <c r="K513">
        <v>332389.20552974072</v>
      </c>
    </row>
    <row r="514" spans="11:11" x14ac:dyDescent="0.45">
      <c r="K514">
        <v>338317.36190811137</v>
      </c>
    </row>
    <row r="515" spans="11:11" x14ac:dyDescent="0.45">
      <c r="K515">
        <v>337343.67630102497</v>
      </c>
    </row>
    <row r="516" spans="11:11" x14ac:dyDescent="0.45">
      <c r="K516">
        <v>341779.04985212017</v>
      </c>
    </row>
    <row r="517" spans="11:11" x14ac:dyDescent="0.45">
      <c r="K517">
        <v>334660.39361636876</v>
      </c>
    </row>
    <row r="518" spans="11:11" x14ac:dyDescent="0.45">
      <c r="K518">
        <v>346520.27028081205</v>
      </c>
    </row>
    <row r="519" spans="11:11" x14ac:dyDescent="0.45">
      <c r="K519">
        <v>356828.45712317439</v>
      </c>
    </row>
    <row r="520" spans="11:11" x14ac:dyDescent="0.45">
      <c r="K520">
        <v>328442.31632983434</v>
      </c>
    </row>
    <row r="521" spans="11:11" x14ac:dyDescent="0.45">
      <c r="K521">
        <v>345563.73683883745</v>
      </c>
    </row>
    <row r="522" spans="11:11" x14ac:dyDescent="0.45">
      <c r="K522">
        <v>334673.87094544095</v>
      </c>
    </row>
    <row r="523" spans="11:11" x14ac:dyDescent="0.45">
      <c r="K523">
        <v>342053.06720104592</v>
      </c>
    </row>
    <row r="524" spans="11:11" x14ac:dyDescent="0.45">
      <c r="K524">
        <v>337676.91266583645</v>
      </c>
    </row>
    <row r="525" spans="11:11" x14ac:dyDescent="0.45">
      <c r="K525">
        <v>340974.74982476933</v>
      </c>
    </row>
    <row r="526" spans="11:11" x14ac:dyDescent="0.45">
      <c r="K526">
        <v>338664.91636706493</v>
      </c>
    </row>
    <row r="527" spans="11:11" x14ac:dyDescent="0.45">
      <c r="K527">
        <v>340516.4046654033</v>
      </c>
    </row>
    <row r="528" spans="11:11" x14ac:dyDescent="0.45">
      <c r="K528">
        <v>349799.91125471622</v>
      </c>
    </row>
    <row r="529" spans="11:11" x14ac:dyDescent="0.45">
      <c r="K529">
        <v>328011.18492037954</v>
      </c>
    </row>
    <row r="530" spans="11:11" x14ac:dyDescent="0.45">
      <c r="K530">
        <v>350964.78405474324</v>
      </c>
    </row>
    <row r="531" spans="11:11" x14ac:dyDescent="0.45">
      <c r="K531">
        <v>336548.8382151564</v>
      </c>
    </row>
    <row r="532" spans="11:11" x14ac:dyDescent="0.45">
      <c r="K532">
        <v>340128.25062872254</v>
      </c>
    </row>
    <row r="533" spans="11:11" x14ac:dyDescent="0.45">
      <c r="K533">
        <v>347900.91138407454</v>
      </c>
    </row>
    <row r="534" spans="11:11" x14ac:dyDescent="0.45">
      <c r="K534">
        <v>360500.4314565637</v>
      </c>
    </row>
    <row r="535" spans="11:11" x14ac:dyDescent="0.45">
      <c r="K535">
        <v>345225.19140307407</v>
      </c>
    </row>
    <row r="536" spans="11:11" x14ac:dyDescent="0.45">
      <c r="K536">
        <v>349590.03834520211</v>
      </c>
    </row>
    <row r="537" spans="11:11" x14ac:dyDescent="0.45">
      <c r="K537">
        <v>345589.95059547422</v>
      </c>
    </row>
    <row r="538" spans="11:11" x14ac:dyDescent="0.45">
      <c r="K538">
        <v>340451.6680423533</v>
      </c>
    </row>
    <row r="539" spans="11:11" x14ac:dyDescent="0.45">
      <c r="K539">
        <v>344938.35889820434</v>
      </c>
    </row>
    <row r="540" spans="11:11" x14ac:dyDescent="0.45">
      <c r="K540">
        <v>347839.51883441396</v>
      </c>
    </row>
    <row r="541" spans="11:11" x14ac:dyDescent="0.45">
      <c r="K541">
        <v>333905.30083928065</v>
      </c>
    </row>
    <row r="542" spans="11:11" x14ac:dyDescent="0.45">
      <c r="K542">
        <v>343904.59253797232</v>
      </c>
    </row>
    <row r="543" spans="11:11" x14ac:dyDescent="0.45">
      <c r="K543">
        <v>331306.79485642212</v>
      </c>
    </row>
    <row r="544" spans="11:11" x14ac:dyDescent="0.45">
      <c r="K544">
        <v>352073.1051785968</v>
      </c>
    </row>
    <row r="545" spans="11:11" x14ac:dyDescent="0.45">
      <c r="K545">
        <v>342307.30328562349</v>
      </c>
    </row>
    <row r="546" spans="11:11" x14ac:dyDescent="0.45">
      <c r="K546">
        <v>339384.0600749969</v>
      </c>
    </row>
    <row r="547" spans="11:11" x14ac:dyDescent="0.45">
      <c r="K547">
        <v>339492.57887686818</v>
      </c>
    </row>
    <row r="548" spans="11:11" x14ac:dyDescent="0.45">
      <c r="K548">
        <v>350288.51608619932</v>
      </c>
    </row>
    <row r="549" spans="11:11" x14ac:dyDescent="0.45">
      <c r="K549">
        <v>345932.33248196961</v>
      </c>
    </row>
    <row r="550" spans="11:11" x14ac:dyDescent="0.45">
      <c r="K550">
        <v>352942.73043714068</v>
      </c>
    </row>
    <row r="551" spans="11:11" x14ac:dyDescent="0.45">
      <c r="K551">
        <v>343556.99158700253</v>
      </c>
    </row>
    <row r="552" spans="11:11" x14ac:dyDescent="0.45">
      <c r="K552">
        <v>348622.79816320969</v>
      </c>
    </row>
    <row r="553" spans="11:11" x14ac:dyDescent="0.45">
      <c r="K553">
        <v>341005.27677400102</v>
      </c>
    </row>
    <row r="554" spans="11:11" x14ac:dyDescent="0.45">
      <c r="K554">
        <v>334649.41716899723</v>
      </c>
    </row>
    <row r="555" spans="11:11" x14ac:dyDescent="0.45">
      <c r="K555">
        <v>339833.2117362534</v>
      </c>
    </row>
    <row r="556" spans="11:11" x14ac:dyDescent="0.45">
      <c r="K556">
        <v>344699.08168294601</v>
      </c>
    </row>
    <row r="557" spans="11:11" x14ac:dyDescent="0.45">
      <c r="K557">
        <v>345845.54458589712</v>
      </c>
    </row>
    <row r="558" spans="11:11" x14ac:dyDescent="0.45">
      <c r="K558">
        <v>341425.80322006514</v>
      </c>
    </row>
    <row r="559" spans="11:11" x14ac:dyDescent="0.45">
      <c r="K559">
        <v>342166.34703770996</v>
      </c>
    </row>
    <row r="560" spans="11:11" x14ac:dyDescent="0.45">
      <c r="K560">
        <v>340548.61836376291</v>
      </c>
    </row>
    <row r="561" spans="11:11" x14ac:dyDescent="0.45">
      <c r="K561">
        <v>343054.93842508452</v>
      </c>
    </row>
    <row r="562" spans="11:11" x14ac:dyDescent="0.45">
      <c r="K562">
        <v>338467.69272546179</v>
      </c>
    </row>
    <row r="563" spans="11:11" x14ac:dyDescent="0.45">
      <c r="K563">
        <v>334941.92869266594</v>
      </c>
    </row>
    <row r="564" spans="11:11" x14ac:dyDescent="0.45">
      <c r="K564">
        <v>331077.7408747485</v>
      </c>
    </row>
    <row r="565" spans="11:11" x14ac:dyDescent="0.45">
      <c r="K565">
        <v>341603.79725242016</v>
      </c>
    </row>
    <row r="566" spans="11:11" x14ac:dyDescent="0.45">
      <c r="K566">
        <v>352261.76066506159</v>
      </c>
    </row>
    <row r="567" spans="11:11" x14ac:dyDescent="0.45">
      <c r="K567">
        <v>352347.54165189323</v>
      </c>
    </row>
    <row r="568" spans="11:11" x14ac:dyDescent="0.45">
      <c r="K568">
        <v>351125.51968918048</v>
      </c>
    </row>
    <row r="569" spans="11:11" x14ac:dyDescent="0.45">
      <c r="K569">
        <v>332859.13706724567</v>
      </c>
    </row>
    <row r="570" spans="11:11" x14ac:dyDescent="0.45">
      <c r="K570">
        <v>338992.118049382</v>
      </c>
    </row>
    <row r="571" spans="11:11" x14ac:dyDescent="0.45">
      <c r="K571">
        <v>339885.83873554994</v>
      </c>
    </row>
    <row r="572" spans="11:11" x14ac:dyDescent="0.45">
      <c r="K572">
        <v>353441.58832751191</v>
      </c>
    </row>
    <row r="573" spans="11:11" x14ac:dyDescent="0.45">
      <c r="K573">
        <v>322950.6733298616</v>
      </c>
    </row>
    <row r="574" spans="11:11" x14ac:dyDescent="0.45">
      <c r="K574">
        <v>333728.5378615259</v>
      </c>
    </row>
    <row r="575" spans="11:11" x14ac:dyDescent="0.45">
      <c r="K575">
        <v>350132.33388077078</v>
      </c>
    </row>
    <row r="576" spans="11:11" x14ac:dyDescent="0.45">
      <c r="K576">
        <v>329572.47781669203</v>
      </c>
    </row>
    <row r="577" spans="11:11" x14ac:dyDescent="0.45">
      <c r="K577">
        <v>339918.54057886422</v>
      </c>
    </row>
    <row r="578" spans="11:11" x14ac:dyDescent="0.45">
      <c r="K578">
        <v>336166.90753824753</v>
      </c>
    </row>
    <row r="579" spans="11:11" x14ac:dyDescent="0.45">
      <c r="K579">
        <v>342986.07629971136</v>
      </c>
    </row>
    <row r="580" spans="11:11" x14ac:dyDescent="0.45">
      <c r="K580">
        <v>322609.9818760326</v>
      </c>
    </row>
    <row r="581" spans="11:11" x14ac:dyDescent="0.45">
      <c r="K581">
        <v>345115.19445516216</v>
      </c>
    </row>
    <row r="582" spans="11:11" x14ac:dyDescent="0.45">
      <c r="K582">
        <v>339924.84433464479</v>
      </c>
    </row>
    <row r="583" spans="11:11" x14ac:dyDescent="0.45">
      <c r="K583">
        <v>327912.06318648986</v>
      </c>
    </row>
    <row r="584" spans="11:11" x14ac:dyDescent="0.45">
      <c r="K584">
        <v>346885.21167654888</v>
      </c>
    </row>
    <row r="585" spans="11:11" x14ac:dyDescent="0.45">
      <c r="K585">
        <v>346004.01734643115</v>
      </c>
    </row>
    <row r="586" spans="11:11" x14ac:dyDescent="0.45">
      <c r="K586">
        <v>331563.80709533079</v>
      </c>
    </row>
    <row r="587" spans="11:11" x14ac:dyDescent="0.45">
      <c r="K587">
        <v>348504.52115609008</v>
      </c>
    </row>
    <row r="588" spans="11:11" x14ac:dyDescent="0.45">
      <c r="K588">
        <v>344028.76476418658</v>
      </c>
    </row>
    <row r="589" spans="11:11" x14ac:dyDescent="0.45">
      <c r="K589">
        <v>352691.0857908529</v>
      </c>
    </row>
    <row r="590" spans="11:11" x14ac:dyDescent="0.45">
      <c r="K590">
        <v>344268.59177550185</v>
      </c>
    </row>
    <row r="591" spans="11:11" x14ac:dyDescent="0.45">
      <c r="K591">
        <v>342707.13521834521</v>
      </c>
    </row>
    <row r="592" spans="11:11" x14ac:dyDescent="0.45">
      <c r="K592">
        <v>344169.89967617794</v>
      </c>
    </row>
    <row r="593" spans="11:11" x14ac:dyDescent="0.45">
      <c r="K593">
        <v>353595.02509098873</v>
      </c>
    </row>
    <row r="594" spans="11:11" x14ac:dyDescent="0.45">
      <c r="K594">
        <v>337852.4868941523</v>
      </c>
    </row>
    <row r="595" spans="11:11" x14ac:dyDescent="0.45">
      <c r="K595">
        <v>345064.61375801801</v>
      </c>
    </row>
    <row r="596" spans="11:11" x14ac:dyDescent="0.45">
      <c r="K596">
        <v>344878.05666936806</v>
      </c>
    </row>
    <row r="597" spans="11:11" x14ac:dyDescent="0.45">
      <c r="K597">
        <v>340545.36191039294</v>
      </c>
    </row>
    <row r="598" spans="11:11" x14ac:dyDescent="0.45">
      <c r="K598">
        <v>348467.03255080682</v>
      </c>
    </row>
    <row r="599" spans="11:11" x14ac:dyDescent="0.45">
      <c r="K599">
        <v>341112.10859681235</v>
      </c>
    </row>
    <row r="600" spans="11:11" x14ac:dyDescent="0.45">
      <c r="K600">
        <v>343064.91716856568</v>
      </c>
    </row>
    <row r="601" spans="11:11" x14ac:dyDescent="0.45">
      <c r="K601">
        <v>341097.71944045776</v>
      </c>
    </row>
    <row r="602" spans="11:11" x14ac:dyDescent="0.45">
      <c r="K602">
        <v>342257.43688852724</v>
      </c>
    </row>
    <row r="603" spans="11:11" x14ac:dyDescent="0.45">
      <c r="K603">
        <v>325036.08136951172</v>
      </c>
    </row>
    <row r="604" spans="11:11" x14ac:dyDescent="0.45">
      <c r="K604">
        <v>343316.40055617288</v>
      </c>
    </row>
    <row r="605" spans="11:11" x14ac:dyDescent="0.45">
      <c r="K605">
        <v>340031.14702410402</v>
      </c>
    </row>
    <row r="606" spans="11:11" x14ac:dyDescent="0.45">
      <c r="K606">
        <v>339708.61905447114</v>
      </c>
    </row>
    <row r="607" spans="11:11" x14ac:dyDescent="0.45">
      <c r="K607">
        <v>338664.0801053184</v>
      </c>
    </row>
    <row r="608" spans="11:11" x14ac:dyDescent="0.45">
      <c r="K608">
        <v>350723.88894845219</v>
      </c>
    </row>
    <row r="609" spans="11:11" x14ac:dyDescent="0.45">
      <c r="K609">
        <v>342598.41570617893</v>
      </c>
    </row>
    <row r="610" spans="11:11" x14ac:dyDescent="0.45">
      <c r="K610">
        <v>339210.98674323916</v>
      </c>
    </row>
    <row r="611" spans="11:11" x14ac:dyDescent="0.45">
      <c r="K611">
        <v>350948.94009982905</v>
      </c>
    </row>
    <row r="612" spans="11:11" x14ac:dyDescent="0.45">
      <c r="K612">
        <v>326114.14419194707</v>
      </c>
    </row>
    <row r="613" spans="11:11" x14ac:dyDescent="0.45">
      <c r="K613">
        <v>355737.65207630297</v>
      </c>
    </row>
    <row r="614" spans="11:11" x14ac:dyDescent="0.45">
      <c r="K614">
        <v>346491.65455389745</v>
      </c>
    </row>
    <row r="615" spans="11:11" x14ac:dyDescent="0.45">
      <c r="K615">
        <v>344873.11307941691</v>
      </c>
    </row>
    <row r="616" spans="11:11" x14ac:dyDescent="0.45">
      <c r="K616">
        <v>345321.80817686417</v>
      </c>
    </row>
    <row r="617" spans="11:11" x14ac:dyDescent="0.45">
      <c r="K617">
        <v>327592.15055161266</v>
      </c>
    </row>
    <row r="618" spans="11:11" x14ac:dyDescent="0.45">
      <c r="K618">
        <v>354844.61740969942</v>
      </c>
    </row>
    <row r="619" spans="11:11" x14ac:dyDescent="0.45">
      <c r="K619">
        <v>339430.95823327312</v>
      </c>
    </row>
    <row r="620" spans="11:11" x14ac:dyDescent="0.45">
      <c r="K620">
        <v>353604.30631212291</v>
      </c>
    </row>
    <row r="621" spans="11:11" x14ac:dyDescent="0.45">
      <c r="K621">
        <v>347963.60765958589</v>
      </c>
    </row>
    <row r="622" spans="11:11" x14ac:dyDescent="0.45">
      <c r="K622">
        <v>346538.99591186765</v>
      </c>
    </row>
    <row r="623" spans="11:11" x14ac:dyDescent="0.45">
      <c r="K623">
        <v>332157.62826303876</v>
      </c>
    </row>
    <row r="624" spans="11:11" x14ac:dyDescent="0.45">
      <c r="K624">
        <v>356962.06033040391</v>
      </c>
    </row>
    <row r="625" spans="11:11" x14ac:dyDescent="0.45">
      <c r="K625">
        <v>341482.76045286335</v>
      </c>
    </row>
    <row r="626" spans="11:11" x14ac:dyDescent="0.45">
      <c r="K626">
        <v>340583.83025515225</v>
      </c>
    </row>
    <row r="627" spans="11:11" x14ac:dyDescent="0.45">
      <c r="K627">
        <v>334714.40695541282</v>
      </c>
    </row>
    <row r="628" spans="11:11" x14ac:dyDescent="0.45">
      <c r="K628">
        <v>348389.94988994946</v>
      </c>
    </row>
    <row r="629" spans="11:11" x14ac:dyDescent="0.45">
      <c r="K629">
        <v>354683.96325752215</v>
      </c>
    </row>
    <row r="630" spans="11:11" x14ac:dyDescent="0.45">
      <c r="K630">
        <v>351814.06161626929</v>
      </c>
    </row>
    <row r="631" spans="11:11" x14ac:dyDescent="0.45">
      <c r="K631">
        <v>349889.89721012645</v>
      </c>
    </row>
    <row r="632" spans="11:11" x14ac:dyDescent="0.45">
      <c r="K632">
        <v>349149.54855365172</v>
      </c>
    </row>
    <row r="633" spans="11:11" x14ac:dyDescent="0.45">
      <c r="K633">
        <v>338287.24459287192</v>
      </c>
    </row>
    <row r="634" spans="11:11" x14ac:dyDescent="0.45">
      <c r="K634">
        <v>331712.80668556708</v>
      </c>
    </row>
    <row r="635" spans="11:11" x14ac:dyDescent="0.45">
      <c r="K635">
        <v>344439.80814209476</v>
      </c>
    </row>
    <row r="636" spans="11:11" x14ac:dyDescent="0.45">
      <c r="K636">
        <v>342159.86554894753</v>
      </c>
    </row>
    <row r="637" spans="11:11" x14ac:dyDescent="0.45">
      <c r="K637">
        <v>362316.28512561606</v>
      </c>
    </row>
    <row r="638" spans="11:11" x14ac:dyDescent="0.45">
      <c r="K638">
        <v>346951.24163898895</v>
      </c>
    </row>
    <row r="639" spans="11:11" x14ac:dyDescent="0.45">
      <c r="K639">
        <v>355383.57995426527</v>
      </c>
    </row>
    <row r="640" spans="11:11" x14ac:dyDescent="0.45">
      <c r="K640">
        <v>354281.64849596372</v>
      </c>
    </row>
    <row r="641" spans="11:11" x14ac:dyDescent="0.45">
      <c r="K641">
        <v>336419.12532610656</v>
      </c>
    </row>
    <row r="642" spans="11:11" x14ac:dyDescent="0.45">
      <c r="K642">
        <v>355864.29997271352</v>
      </c>
    </row>
    <row r="643" spans="11:11" x14ac:dyDescent="0.45">
      <c r="K643">
        <v>345454.64124187035</v>
      </c>
    </row>
    <row r="644" spans="11:11" x14ac:dyDescent="0.45">
      <c r="K644">
        <v>333982.23504692165</v>
      </c>
    </row>
    <row r="645" spans="11:11" x14ac:dyDescent="0.45">
      <c r="K645">
        <v>332800.03305462329</v>
      </c>
    </row>
    <row r="646" spans="11:11" x14ac:dyDescent="0.45">
      <c r="K646">
        <v>342716.52532205026</v>
      </c>
    </row>
    <row r="647" spans="11:11" x14ac:dyDescent="0.45">
      <c r="K647">
        <v>348007.56241079757</v>
      </c>
    </row>
    <row r="648" spans="11:11" x14ac:dyDescent="0.45">
      <c r="K648">
        <v>337623.51748156943</v>
      </c>
    </row>
    <row r="649" spans="11:11" x14ac:dyDescent="0.45">
      <c r="K649">
        <v>347538.76593320322</v>
      </c>
    </row>
    <row r="650" spans="11:11" x14ac:dyDescent="0.45">
      <c r="K650">
        <v>336933.78608482983</v>
      </c>
    </row>
    <row r="651" spans="11:11" x14ac:dyDescent="0.45">
      <c r="K651">
        <v>361061.13805339532</v>
      </c>
    </row>
    <row r="652" spans="11:11" x14ac:dyDescent="0.45">
      <c r="K652">
        <v>337322.43716183066</v>
      </c>
    </row>
    <row r="653" spans="11:11" x14ac:dyDescent="0.45">
      <c r="K653">
        <v>336691.29770544113</v>
      </c>
    </row>
    <row r="654" spans="11:11" x14ac:dyDescent="0.45">
      <c r="K654">
        <v>338911.88265785569</v>
      </c>
    </row>
    <row r="655" spans="11:11" x14ac:dyDescent="0.45">
      <c r="K655">
        <v>350029.43133967195</v>
      </c>
    </row>
    <row r="656" spans="11:11" x14ac:dyDescent="0.45">
      <c r="K656">
        <v>344100.99745472323</v>
      </c>
    </row>
    <row r="657" spans="11:11" x14ac:dyDescent="0.45">
      <c r="K657">
        <v>344956.41430819727</v>
      </c>
    </row>
    <row r="658" spans="11:11" x14ac:dyDescent="0.45">
      <c r="K658">
        <v>347445.40101854462</v>
      </c>
    </row>
    <row r="659" spans="11:11" x14ac:dyDescent="0.45">
      <c r="K659">
        <v>348838.33074136265</v>
      </c>
    </row>
    <row r="660" spans="11:11" x14ac:dyDescent="0.45">
      <c r="K660">
        <v>332852.63579122437</v>
      </c>
    </row>
    <row r="661" spans="11:11" x14ac:dyDescent="0.45">
      <c r="K661">
        <v>338988.46566058078</v>
      </c>
    </row>
    <row r="662" spans="11:11" x14ac:dyDescent="0.45">
      <c r="K662">
        <v>350103.64476160915</v>
      </c>
    </row>
    <row r="663" spans="11:11" x14ac:dyDescent="0.45">
      <c r="K663">
        <v>345914.36566258257</v>
      </c>
    </row>
    <row r="664" spans="11:11" x14ac:dyDescent="0.45">
      <c r="K664">
        <v>338703.69107589638</v>
      </c>
    </row>
    <row r="665" spans="11:11" x14ac:dyDescent="0.45">
      <c r="K665">
        <v>334723.12577152613</v>
      </c>
    </row>
    <row r="666" spans="11:11" x14ac:dyDescent="0.45">
      <c r="K666">
        <v>347899.78569787333</v>
      </c>
    </row>
    <row r="667" spans="11:11" x14ac:dyDescent="0.45">
      <c r="K667">
        <v>344420.38076569821</v>
      </c>
    </row>
    <row r="668" spans="11:11" x14ac:dyDescent="0.45">
      <c r="K668">
        <v>334964.58413608657</v>
      </c>
    </row>
    <row r="669" spans="11:11" x14ac:dyDescent="0.45">
      <c r="K669">
        <v>344151.97211746807</v>
      </c>
    </row>
    <row r="670" spans="11:11" x14ac:dyDescent="0.45">
      <c r="K670">
        <v>350303.34438523569</v>
      </c>
    </row>
    <row r="671" spans="11:11" x14ac:dyDescent="0.45">
      <c r="K671">
        <v>345007.16698345332</v>
      </c>
    </row>
    <row r="672" spans="11:11" x14ac:dyDescent="0.45">
      <c r="K672">
        <v>351737.16291834181</v>
      </c>
    </row>
    <row r="673" spans="11:11" x14ac:dyDescent="0.45">
      <c r="K673">
        <v>343457.51342980959</v>
      </c>
    </row>
    <row r="674" spans="11:11" x14ac:dyDescent="0.45">
      <c r="K674">
        <v>324242.88739553484</v>
      </c>
    </row>
    <row r="675" spans="11:11" x14ac:dyDescent="0.45">
      <c r="K675">
        <v>337360.90357436228</v>
      </c>
    </row>
    <row r="676" spans="11:11" x14ac:dyDescent="0.45">
      <c r="K676">
        <v>341761.80779038265</v>
      </c>
    </row>
    <row r="677" spans="11:11" x14ac:dyDescent="0.45">
      <c r="K677">
        <v>347103.35527930153</v>
      </c>
    </row>
    <row r="678" spans="11:11" x14ac:dyDescent="0.45">
      <c r="K678">
        <v>350558.10738761316</v>
      </c>
    </row>
    <row r="679" spans="11:11" x14ac:dyDescent="0.45">
      <c r="K679">
        <v>339732.13569268817</v>
      </c>
    </row>
    <row r="680" spans="11:11" x14ac:dyDescent="0.45">
      <c r="K680">
        <v>338250.56356050214</v>
      </c>
    </row>
    <row r="681" spans="11:11" x14ac:dyDescent="0.45">
      <c r="K681">
        <v>343655.92950469535</v>
      </c>
    </row>
    <row r="682" spans="11:11" x14ac:dyDescent="0.45">
      <c r="K682">
        <v>364105.52350095962</v>
      </c>
    </row>
    <row r="683" spans="11:11" x14ac:dyDescent="0.45">
      <c r="K683">
        <v>337733.66150783171</v>
      </c>
    </row>
    <row r="684" spans="11:11" x14ac:dyDescent="0.45">
      <c r="K684">
        <v>341894.77513676835</v>
      </c>
    </row>
    <row r="685" spans="11:11" x14ac:dyDescent="0.45">
      <c r="K685">
        <v>357369.1674711518</v>
      </c>
    </row>
    <row r="686" spans="11:11" x14ac:dyDescent="0.45">
      <c r="K686">
        <v>353580.74283807212</v>
      </c>
    </row>
    <row r="687" spans="11:11" x14ac:dyDescent="0.45">
      <c r="K687">
        <v>357101.34347975667</v>
      </c>
    </row>
    <row r="688" spans="11:11" x14ac:dyDescent="0.45">
      <c r="K688">
        <v>356191.68244134507</v>
      </c>
    </row>
    <row r="689" spans="11:11" x14ac:dyDescent="0.45">
      <c r="K689">
        <v>350339.13372925308</v>
      </c>
    </row>
    <row r="690" spans="11:11" x14ac:dyDescent="0.45">
      <c r="K690">
        <v>337293.18213490141</v>
      </c>
    </row>
    <row r="691" spans="11:11" x14ac:dyDescent="0.45">
      <c r="K691">
        <v>341163.27358446532</v>
      </c>
    </row>
    <row r="692" spans="11:11" x14ac:dyDescent="0.45">
      <c r="K692">
        <v>348168.13622782467</v>
      </c>
    </row>
    <row r="693" spans="11:11" x14ac:dyDescent="0.45">
      <c r="K693">
        <v>358201.88593083597</v>
      </c>
    </row>
    <row r="694" spans="11:11" x14ac:dyDescent="0.45">
      <c r="K694">
        <v>342651.65761634812</v>
      </c>
    </row>
    <row r="695" spans="11:11" x14ac:dyDescent="0.45">
      <c r="K695">
        <v>353428.84500210948</v>
      </c>
    </row>
    <row r="696" spans="11:11" x14ac:dyDescent="0.45">
      <c r="K696">
        <v>330494.7758942786</v>
      </c>
    </row>
    <row r="697" spans="11:11" x14ac:dyDescent="0.45">
      <c r="K697">
        <v>344164.71986274008</v>
      </c>
    </row>
    <row r="698" spans="11:11" x14ac:dyDescent="0.45">
      <c r="K698">
        <v>358114.3157424021</v>
      </c>
    </row>
    <row r="699" spans="11:11" x14ac:dyDescent="0.45">
      <c r="K699">
        <v>329579.24362926086</v>
      </c>
    </row>
    <row r="700" spans="11:11" x14ac:dyDescent="0.45">
      <c r="K700">
        <v>353069.17779053579</v>
      </c>
    </row>
    <row r="701" spans="11:11" x14ac:dyDescent="0.45">
      <c r="K701">
        <v>346630.67608674808</v>
      </c>
    </row>
    <row r="702" spans="11:11" x14ac:dyDescent="0.45">
      <c r="K702">
        <v>337766.34293622634</v>
      </c>
    </row>
    <row r="703" spans="11:11" x14ac:dyDescent="0.45">
      <c r="K703">
        <v>328826.1390329951</v>
      </c>
    </row>
    <row r="704" spans="11:11" x14ac:dyDescent="0.45">
      <c r="K704">
        <v>346446.54282083054</v>
      </c>
    </row>
    <row r="705" spans="11:11" x14ac:dyDescent="0.45">
      <c r="K705">
        <v>342675.83171650313</v>
      </c>
    </row>
    <row r="706" spans="11:11" x14ac:dyDescent="0.45">
      <c r="K706">
        <v>339925.7382902336</v>
      </c>
    </row>
    <row r="707" spans="11:11" x14ac:dyDescent="0.45">
      <c r="K707">
        <v>346963.42396017845</v>
      </c>
    </row>
    <row r="708" spans="11:11" x14ac:dyDescent="0.45">
      <c r="K708">
        <v>342556.93995621963</v>
      </c>
    </row>
    <row r="709" spans="11:11" x14ac:dyDescent="0.45">
      <c r="K709">
        <v>349116.85481068247</v>
      </c>
    </row>
    <row r="710" spans="11:11" x14ac:dyDescent="0.45">
      <c r="K710">
        <v>333090.37316355453</v>
      </c>
    </row>
    <row r="711" spans="11:11" x14ac:dyDescent="0.45">
      <c r="K711">
        <v>352468.26493660815</v>
      </c>
    </row>
    <row r="712" spans="11:11" x14ac:dyDescent="0.45">
      <c r="K712">
        <v>340212.74310729752</v>
      </c>
    </row>
    <row r="713" spans="11:11" x14ac:dyDescent="0.45">
      <c r="K713">
        <v>331422.89312720607</v>
      </c>
    </row>
    <row r="714" spans="11:11" x14ac:dyDescent="0.45">
      <c r="K714">
        <v>341203.36335403618</v>
      </c>
    </row>
    <row r="715" spans="11:11" x14ac:dyDescent="0.45">
      <c r="K715">
        <v>340708.54723716091</v>
      </c>
    </row>
    <row r="716" spans="11:11" x14ac:dyDescent="0.45">
      <c r="K716">
        <v>345985.08477039589</v>
      </c>
    </row>
    <row r="717" spans="11:11" x14ac:dyDescent="0.45">
      <c r="K717">
        <v>338939.27084119484</v>
      </c>
    </row>
    <row r="718" spans="11:11" x14ac:dyDescent="0.45">
      <c r="K718">
        <v>350064.07832578517</v>
      </c>
    </row>
    <row r="719" spans="11:11" x14ac:dyDescent="0.45">
      <c r="K719">
        <v>345485.02105493797</v>
      </c>
    </row>
    <row r="720" spans="11:11" x14ac:dyDescent="0.45">
      <c r="K720">
        <v>335669.61332261824</v>
      </c>
    </row>
    <row r="721" spans="11:11" x14ac:dyDescent="0.45">
      <c r="K721">
        <v>340569.50591259904</v>
      </c>
    </row>
    <row r="722" spans="11:11" x14ac:dyDescent="0.45">
      <c r="K722">
        <v>330606.49647666438</v>
      </c>
    </row>
    <row r="723" spans="11:11" x14ac:dyDescent="0.45">
      <c r="K723">
        <v>347997.64921995456</v>
      </c>
    </row>
    <row r="724" spans="11:11" x14ac:dyDescent="0.45">
      <c r="K724">
        <v>332735.23652613128</v>
      </c>
    </row>
    <row r="725" spans="11:11" x14ac:dyDescent="0.45">
      <c r="K725">
        <v>342087.554903379</v>
      </c>
    </row>
    <row r="726" spans="11:11" x14ac:dyDescent="0.45">
      <c r="K726">
        <v>347996.26786137448</v>
      </c>
    </row>
    <row r="727" spans="11:11" x14ac:dyDescent="0.45">
      <c r="K727">
        <v>342482.09157114604</v>
      </c>
    </row>
    <row r="728" spans="11:11" x14ac:dyDescent="0.45">
      <c r="K728">
        <v>340870.46039033355</v>
      </c>
    </row>
    <row r="729" spans="11:11" x14ac:dyDescent="0.45">
      <c r="K729">
        <v>344102.74443031603</v>
      </c>
    </row>
    <row r="730" spans="11:11" x14ac:dyDescent="0.45">
      <c r="K730">
        <v>345363.78005317535</v>
      </c>
    </row>
    <row r="731" spans="11:11" x14ac:dyDescent="0.45">
      <c r="K731">
        <v>318427.13401624461</v>
      </c>
    </row>
    <row r="732" spans="11:11" x14ac:dyDescent="0.45">
      <c r="K732">
        <v>344037.0496084874</v>
      </c>
    </row>
    <row r="733" spans="11:11" x14ac:dyDescent="0.45">
      <c r="K733">
        <v>335294.83174612862</v>
      </c>
    </row>
    <row r="734" spans="11:11" x14ac:dyDescent="0.45">
      <c r="K734">
        <v>338287.4121777828</v>
      </c>
    </row>
    <row r="735" spans="11:11" x14ac:dyDescent="0.45">
      <c r="K735">
        <v>353146.86937276204</v>
      </c>
    </row>
    <row r="736" spans="11:11" x14ac:dyDescent="0.45">
      <c r="K736">
        <v>341206.78808569233</v>
      </c>
    </row>
    <row r="737" spans="11:11" x14ac:dyDescent="0.45">
      <c r="K737">
        <v>340350.16632965574</v>
      </c>
    </row>
    <row r="738" spans="11:11" x14ac:dyDescent="0.45">
      <c r="K738">
        <v>334708.80278642842</v>
      </c>
    </row>
    <row r="739" spans="11:11" x14ac:dyDescent="0.45">
      <c r="K739">
        <v>337217.65177564218</v>
      </c>
    </row>
    <row r="740" spans="11:11" x14ac:dyDescent="0.45">
      <c r="K740">
        <v>322280.36181996146</v>
      </c>
    </row>
    <row r="741" spans="11:11" x14ac:dyDescent="0.45">
      <c r="K741">
        <v>335763.2017339468</v>
      </c>
    </row>
    <row r="742" spans="11:11" x14ac:dyDescent="0.45">
      <c r="K742">
        <v>338674.07247573836</v>
      </c>
    </row>
    <row r="743" spans="11:11" x14ac:dyDescent="0.45">
      <c r="K743">
        <v>324098.49948929268</v>
      </c>
    </row>
    <row r="744" spans="11:11" x14ac:dyDescent="0.45">
      <c r="K744">
        <v>340016.61193728534</v>
      </c>
    </row>
    <row r="745" spans="11:11" x14ac:dyDescent="0.45">
      <c r="K745">
        <v>340145.94253893977</v>
      </c>
    </row>
    <row r="746" spans="11:11" x14ac:dyDescent="0.45">
      <c r="K746">
        <v>347668.86478016531</v>
      </c>
    </row>
    <row r="747" spans="11:11" x14ac:dyDescent="0.45">
      <c r="K747">
        <v>347241.18761790951</v>
      </c>
    </row>
    <row r="748" spans="11:11" x14ac:dyDescent="0.45">
      <c r="K748">
        <v>350917.1566235128</v>
      </c>
    </row>
    <row r="749" spans="11:11" x14ac:dyDescent="0.45">
      <c r="K749">
        <v>340708.68458877591</v>
      </c>
    </row>
    <row r="750" spans="11:11" x14ac:dyDescent="0.45">
      <c r="K750">
        <v>340565.79551659414</v>
      </c>
    </row>
    <row r="751" spans="11:11" x14ac:dyDescent="0.45">
      <c r="K751">
        <v>330255.31197113299</v>
      </c>
    </row>
    <row r="752" spans="11:11" x14ac:dyDescent="0.45">
      <c r="K752">
        <v>355578.4639901116</v>
      </c>
    </row>
    <row r="753" spans="11:11" x14ac:dyDescent="0.45">
      <c r="K753">
        <v>348020.43638279592</v>
      </c>
    </row>
    <row r="754" spans="11:11" x14ac:dyDescent="0.45">
      <c r="K754">
        <v>349084.02222897363</v>
      </c>
    </row>
    <row r="755" spans="11:11" x14ac:dyDescent="0.45">
      <c r="K755">
        <v>331623.9275652676</v>
      </c>
    </row>
    <row r="756" spans="11:11" x14ac:dyDescent="0.45">
      <c r="K756">
        <v>333926.56836459209</v>
      </c>
    </row>
    <row r="757" spans="11:11" x14ac:dyDescent="0.45">
      <c r="K757">
        <v>347374.14726000984</v>
      </c>
    </row>
    <row r="758" spans="11:11" x14ac:dyDescent="0.45">
      <c r="K758">
        <v>321012.7862731975</v>
      </c>
    </row>
    <row r="759" spans="11:11" x14ac:dyDescent="0.45">
      <c r="K759">
        <v>337306.10506137792</v>
      </c>
    </row>
    <row r="760" spans="11:11" x14ac:dyDescent="0.45">
      <c r="K760">
        <v>323112.83683749085</v>
      </c>
    </row>
    <row r="761" spans="11:11" x14ac:dyDescent="0.45">
      <c r="K761">
        <v>351238.86018685583</v>
      </c>
    </row>
    <row r="762" spans="11:11" x14ac:dyDescent="0.45">
      <c r="K762">
        <v>336648.75233565108</v>
      </c>
    </row>
    <row r="763" spans="11:11" x14ac:dyDescent="0.45">
      <c r="K763">
        <v>342735.03931492439</v>
      </c>
    </row>
    <row r="764" spans="11:11" x14ac:dyDescent="0.45">
      <c r="K764">
        <v>328233.91962116607</v>
      </c>
    </row>
    <row r="765" spans="11:11" x14ac:dyDescent="0.45">
      <c r="K765">
        <v>340299.24447899824</v>
      </c>
    </row>
    <row r="766" spans="11:11" x14ac:dyDescent="0.45">
      <c r="K766">
        <v>349439.72110446414</v>
      </c>
    </row>
    <row r="767" spans="11:11" x14ac:dyDescent="0.45">
      <c r="K767">
        <v>358769.43876582</v>
      </c>
    </row>
    <row r="768" spans="11:11" x14ac:dyDescent="0.45">
      <c r="K768">
        <v>351373.37210619956</v>
      </c>
    </row>
    <row r="769" spans="11:11" x14ac:dyDescent="0.45">
      <c r="K769">
        <v>336271.21848404343</v>
      </c>
    </row>
    <row r="770" spans="11:11" x14ac:dyDescent="0.45">
      <c r="K770">
        <v>335997.93380682386</v>
      </c>
    </row>
    <row r="771" spans="11:11" x14ac:dyDescent="0.45">
      <c r="K771">
        <v>338938.53110391728</v>
      </c>
    </row>
    <row r="772" spans="11:11" x14ac:dyDescent="0.45">
      <c r="K772">
        <v>357205.23867503623</v>
      </c>
    </row>
    <row r="773" spans="11:11" x14ac:dyDescent="0.45">
      <c r="K773">
        <v>345825.90282460063</v>
      </c>
    </row>
    <row r="774" spans="11:11" x14ac:dyDescent="0.45">
      <c r="K774">
        <v>351152.46035419707</v>
      </c>
    </row>
    <row r="775" spans="11:11" x14ac:dyDescent="0.45">
      <c r="K775">
        <v>344929.049961443</v>
      </c>
    </row>
    <row r="776" spans="11:11" x14ac:dyDescent="0.45">
      <c r="K776">
        <v>329002.5163413859</v>
      </c>
    </row>
    <row r="777" spans="11:11" x14ac:dyDescent="0.45">
      <c r="K777">
        <v>341556.65630449494</v>
      </c>
    </row>
    <row r="778" spans="11:11" x14ac:dyDescent="0.45">
      <c r="K778">
        <v>346133.65211839729</v>
      </c>
    </row>
    <row r="779" spans="11:11" x14ac:dyDescent="0.45">
      <c r="K779">
        <v>336541.17798858532</v>
      </c>
    </row>
    <row r="780" spans="11:11" x14ac:dyDescent="0.45">
      <c r="K780">
        <v>356554.69903670123</v>
      </c>
    </row>
    <row r="781" spans="11:11" x14ac:dyDescent="0.45">
      <c r="K781">
        <v>337716.86459744192</v>
      </c>
    </row>
    <row r="782" spans="11:11" x14ac:dyDescent="0.45">
      <c r="K782">
        <v>331723.01674685447</v>
      </c>
    </row>
    <row r="783" spans="11:11" x14ac:dyDescent="0.45">
      <c r="K783">
        <v>347075.49798053014</v>
      </c>
    </row>
    <row r="784" spans="11:11" x14ac:dyDescent="0.45">
      <c r="K784">
        <v>333817.22112597444</v>
      </c>
    </row>
    <row r="785" spans="11:11" x14ac:dyDescent="0.45">
      <c r="K785">
        <v>355449.01568917604</v>
      </c>
    </row>
    <row r="786" spans="11:11" x14ac:dyDescent="0.45">
      <c r="K786">
        <v>333485.38713488297</v>
      </c>
    </row>
    <row r="787" spans="11:11" x14ac:dyDescent="0.45">
      <c r="K787">
        <v>345381.62284677644</v>
      </c>
    </row>
    <row r="788" spans="11:11" x14ac:dyDescent="0.45">
      <c r="K788">
        <v>351953.30144349992</v>
      </c>
    </row>
    <row r="789" spans="11:11" x14ac:dyDescent="0.45">
      <c r="K789">
        <v>345339.02104450366</v>
      </c>
    </row>
    <row r="790" spans="11:11" x14ac:dyDescent="0.45">
      <c r="K790">
        <v>346409.62556375941</v>
      </c>
    </row>
    <row r="791" spans="11:11" x14ac:dyDescent="0.45">
      <c r="K791">
        <v>337220.90332007245</v>
      </c>
    </row>
    <row r="792" spans="11:11" x14ac:dyDescent="0.45">
      <c r="K792">
        <v>337542.48610816727</v>
      </c>
    </row>
    <row r="793" spans="11:11" x14ac:dyDescent="0.45">
      <c r="K793">
        <v>343136.96835125488</v>
      </c>
    </row>
    <row r="794" spans="11:11" x14ac:dyDescent="0.45">
      <c r="K794">
        <v>369458.23560344637</v>
      </c>
    </row>
    <row r="795" spans="11:11" x14ac:dyDescent="0.45">
      <c r="K795">
        <v>349359.73282918875</v>
      </c>
    </row>
    <row r="796" spans="11:11" x14ac:dyDescent="0.45">
      <c r="K796">
        <v>341572.15467034822</v>
      </c>
    </row>
    <row r="797" spans="11:11" x14ac:dyDescent="0.45">
      <c r="K797">
        <v>345887.04017154762</v>
      </c>
    </row>
    <row r="798" spans="11:11" x14ac:dyDescent="0.45">
      <c r="K798">
        <v>329141.23243131733</v>
      </c>
    </row>
    <row r="799" spans="11:11" x14ac:dyDescent="0.45">
      <c r="K799">
        <v>332178.88888136129</v>
      </c>
    </row>
    <row r="800" spans="11:11" x14ac:dyDescent="0.45">
      <c r="K800">
        <v>346414.41295064084</v>
      </c>
    </row>
    <row r="801" spans="11:11" x14ac:dyDescent="0.45">
      <c r="K801">
        <v>337679.65628938546</v>
      </c>
    </row>
    <row r="802" spans="11:11" x14ac:dyDescent="0.45">
      <c r="K802">
        <v>354375.88845386944</v>
      </c>
    </row>
    <row r="803" spans="11:11" x14ac:dyDescent="0.45">
      <c r="K803">
        <v>344371.00354593032</v>
      </c>
    </row>
    <row r="804" spans="11:11" x14ac:dyDescent="0.45">
      <c r="K804">
        <v>350362.51408048434</v>
      </c>
    </row>
    <row r="805" spans="11:11" x14ac:dyDescent="0.45">
      <c r="K805">
        <v>332560.81211581116</v>
      </c>
    </row>
    <row r="806" spans="11:11" x14ac:dyDescent="0.45">
      <c r="K806">
        <v>352444.1828939098</v>
      </c>
    </row>
    <row r="807" spans="11:11" x14ac:dyDescent="0.45">
      <c r="K807">
        <v>341022.20445389603</v>
      </c>
    </row>
    <row r="808" spans="11:11" x14ac:dyDescent="0.45">
      <c r="K808">
        <v>351575.00310633174</v>
      </c>
    </row>
    <row r="809" spans="11:11" x14ac:dyDescent="0.45">
      <c r="K809">
        <v>343982.17867869325</v>
      </c>
    </row>
    <row r="810" spans="11:11" x14ac:dyDescent="0.45">
      <c r="K810">
        <v>336060.63843342027</v>
      </c>
    </row>
    <row r="811" spans="11:11" x14ac:dyDescent="0.45">
      <c r="K811">
        <v>332410.00946951454</v>
      </c>
    </row>
    <row r="812" spans="11:11" x14ac:dyDescent="0.45">
      <c r="K812">
        <v>341947.55217792856</v>
      </c>
    </row>
    <row r="813" spans="11:11" x14ac:dyDescent="0.45">
      <c r="K813">
        <v>338876.25541023316</v>
      </c>
    </row>
    <row r="814" spans="11:11" x14ac:dyDescent="0.45">
      <c r="K814">
        <v>344334.06948439672</v>
      </c>
    </row>
    <row r="815" spans="11:11" x14ac:dyDescent="0.45">
      <c r="K815">
        <v>341851.25838041632</v>
      </c>
    </row>
    <row r="816" spans="11:11" x14ac:dyDescent="0.45">
      <c r="K816">
        <v>340678.35843490093</v>
      </c>
    </row>
    <row r="817" spans="11:11" x14ac:dyDescent="0.45">
      <c r="K817">
        <v>340000.73549036373</v>
      </c>
    </row>
    <row r="818" spans="11:11" x14ac:dyDescent="0.45">
      <c r="K818">
        <v>351070.68265902565</v>
      </c>
    </row>
    <row r="819" spans="11:11" x14ac:dyDescent="0.45">
      <c r="K819">
        <v>333673.53173976659</v>
      </c>
    </row>
    <row r="820" spans="11:11" x14ac:dyDescent="0.45">
      <c r="K820">
        <v>346909.51916394476</v>
      </c>
    </row>
    <row r="821" spans="11:11" x14ac:dyDescent="0.45">
      <c r="K821">
        <v>347575.51640972291</v>
      </c>
    </row>
    <row r="822" spans="11:11" x14ac:dyDescent="0.45">
      <c r="K822">
        <v>348602.25924076105</v>
      </c>
    </row>
    <row r="823" spans="11:11" x14ac:dyDescent="0.45">
      <c r="K823">
        <v>338386.42800747021</v>
      </c>
    </row>
    <row r="824" spans="11:11" x14ac:dyDescent="0.45">
      <c r="K824">
        <v>357866.91323167423</v>
      </c>
    </row>
    <row r="825" spans="11:11" x14ac:dyDescent="0.45">
      <c r="K825">
        <v>343957.42004875728</v>
      </c>
    </row>
    <row r="826" spans="11:11" x14ac:dyDescent="0.45">
      <c r="K826">
        <v>326696.00489446253</v>
      </c>
    </row>
    <row r="827" spans="11:11" x14ac:dyDescent="0.45">
      <c r="K827">
        <v>346000.91518738196</v>
      </c>
    </row>
    <row r="828" spans="11:11" x14ac:dyDescent="0.45">
      <c r="K828">
        <v>348494.91884490778</v>
      </c>
    </row>
    <row r="829" spans="11:11" x14ac:dyDescent="0.45">
      <c r="K829">
        <v>343099.0887922495</v>
      </c>
    </row>
    <row r="830" spans="11:11" x14ac:dyDescent="0.45">
      <c r="K830">
        <v>341574.0636630691</v>
      </c>
    </row>
    <row r="831" spans="11:11" x14ac:dyDescent="0.45">
      <c r="K831">
        <v>349350.74347393838</v>
      </c>
    </row>
    <row r="832" spans="11:11" x14ac:dyDescent="0.45">
      <c r="K832">
        <v>329657.23038439936</v>
      </c>
    </row>
    <row r="833" spans="11:11" x14ac:dyDescent="0.45">
      <c r="K833">
        <v>351105.10540784313</v>
      </c>
    </row>
    <row r="834" spans="11:11" x14ac:dyDescent="0.45">
      <c r="K834">
        <v>348177.6169169427</v>
      </c>
    </row>
    <row r="835" spans="11:11" x14ac:dyDescent="0.45">
      <c r="K835">
        <v>335603.08823334833</v>
      </c>
    </row>
    <row r="836" spans="11:11" x14ac:dyDescent="0.45">
      <c r="K836">
        <v>344244.20529190701</v>
      </c>
    </row>
    <row r="837" spans="11:11" x14ac:dyDescent="0.45">
      <c r="K837">
        <v>335743.55099809112</v>
      </c>
    </row>
    <row r="838" spans="11:11" x14ac:dyDescent="0.45">
      <c r="K838">
        <v>348639.2850528633</v>
      </c>
    </row>
    <row r="839" spans="11:11" x14ac:dyDescent="0.45">
      <c r="K839">
        <v>338562.40105103404</v>
      </c>
    </row>
    <row r="840" spans="11:11" x14ac:dyDescent="0.45">
      <c r="K840">
        <v>351892.18581414764</v>
      </c>
    </row>
    <row r="841" spans="11:11" x14ac:dyDescent="0.45">
      <c r="K841">
        <v>341601.49083296058</v>
      </c>
    </row>
    <row r="842" spans="11:11" x14ac:dyDescent="0.45">
      <c r="K842">
        <v>348283.87022331037</v>
      </c>
    </row>
    <row r="843" spans="11:11" x14ac:dyDescent="0.45">
      <c r="K843">
        <v>343463.24116932385</v>
      </c>
    </row>
    <row r="844" spans="11:11" x14ac:dyDescent="0.45">
      <c r="K844">
        <v>340549.8932229029</v>
      </c>
    </row>
    <row r="845" spans="11:11" x14ac:dyDescent="0.45">
      <c r="K845">
        <v>341869.61908240675</v>
      </c>
    </row>
    <row r="846" spans="11:11" x14ac:dyDescent="0.45">
      <c r="K846">
        <v>353778.59409497806</v>
      </c>
    </row>
    <row r="847" spans="11:11" x14ac:dyDescent="0.45">
      <c r="K847">
        <v>348676.07173625374</v>
      </c>
    </row>
    <row r="848" spans="11:11" x14ac:dyDescent="0.45">
      <c r="K848">
        <v>329883.91434556519</v>
      </c>
    </row>
    <row r="849" spans="11:11" x14ac:dyDescent="0.45">
      <c r="K849">
        <v>341754.69509444654</v>
      </c>
    </row>
    <row r="850" spans="11:11" x14ac:dyDescent="0.45">
      <c r="K850">
        <v>344829.7906899259</v>
      </c>
    </row>
    <row r="851" spans="11:11" x14ac:dyDescent="0.45">
      <c r="K851">
        <v>322593.20285646344</v>
      </c>
    </row>
    <row r="852" spans="11:11" x14ac:dyDescent="0.45">
      <c r="K852">
        <v>326259.06020209525</v>
      </c>
    </row>
    <row r="853" spans="11:11" x14ac:dyDescent="0.45">
      <c r="K853">
        <v>332501.26751433598</v>
      </c>
    </row>
    <row r="854" spans="11:11" x14ac:dyDescent="0.45">
      <c r="K854">
        <v>338165.5841807602</v>
      </c>
    </row>
    <row r="855" spans="11:11" x14ac:dyDescent="0.45">
      <c r="K855">
        <v>338128.30827883154</v>
      </c>
    </row>
    <row r="856" spans="11:11" x14ac:dyDescent="0.45">
      <c r="K856">
        <v>341121.63470458688</v>
      </c>
    </row>
    <row r="857" spans="11:11" x14ac:dyDescent="0.45">
      <c r="K857">
        <v>338617.07552184263</v>
      </c>
    </row>
    <row r="858" spans="11:11" x14ac:dyDescent="0.45">
      <c r="K858">
        <v>338319.27338821877</v>
      </c>
    </row>
    <row r="859" spans="11:11" x14ac:dyDescent="0.45">
      <c r="K859">
        <v>348346.51116453781</v>
      </c>
    </row>
    <row r="860" spans="11:11" x14ac:dyDescent="0.45">
      <c r="K860">
        <v>343255.28503364359</v>
      </c>
    </row>
    <row r="861" spans="11:11" x14ac:dyDescent="0.45">
      <c r="K861">
        <v>346607.05491813994</v>
      </c>
    </row>
    <row r="862" spans="11:11" x14ac:dyDescent="0.45">
      <c r="K862">
        <v>347034.30091629951</v>
      </c>
    </row>
    <row r="863" spans="11:11" x14ac:dyDescent="0.45">
      <c r="K863">
        <v>337288.87426207459</v>
      </c>
    </row>
    <row r="864" spans="11:11" x14ac:dyDescent="0.45">
      <c r="K864">
        <v>343195.87736470869</v>
      </c>
    </row>
    <row r="865" spans="11:11" x14ac:dyDescent="0.45">
      <c r="K865">
        <v>348079.23914841452</v>
      </c>
    </row>
    <row r="866" spans="11:11" x14ac:dyDescent="0.45">
      <c r="K866">
        <v>339763.23816345085</v>
      </c>
    </row>
    <row r="867" spans="11:11" x14ac:dyDescent="0.45">
      <c r="K867">
        <v>334773.07909947226</v>
      </c>
    </row>
    <row r="868" spans="11:11" x14ac:dyDescent="0.45">
      <c r="K868">
        <v>353356.65188168932</v>
      </c>
    </row>
    <row r="869" spans="11:11" x14ac:dyDescent="0.45">
      <c r="K869">
        <v>346794.79584494233</v>
      </c>
    </row>
    <row r="870" spans="11:11" x14ac:dyDescent="0.45">
      <c r="K870">
        <v>350805.91857944353</v>
      </c>
    </row>
    <row r="871" spans="11:11" x14ac:dyDescent="0.45">
      <c r="K871">
        <v>339195.86966027104</v>
      </c>
    </row>
    <row r="872" spans="11:11" x14ac:dyDescent="0.45">
      <c r="K872">
        <v>347050.13651066978</v>
      </c>
    </row>
    <row r="873" spans="11:11" x14ac:dyDescent="0.45">
      <c r="K873">
        <v>344238.98921038856</v>
      </c>
    </row>
    <row r="874" spans="11:11" x14ac:dyDescent="0.45">
      <c r="K874">
        <v>344012.13383062358</v>
      </c>
    </row>
    <row r="875" spans="11:11" x14ac:dyDescent="0.45">
      <c r="K875">
        <v>335831.69751562708</v>
      </c>
    </row>
    <row r="876" spans="11:11" x14ac:dyDescent="0.45">
      <c r="K876">
        <v>334488.12457976985</v>
      </c>
    </row>
    <row r="877" spans="11:11" x14ac:dyDescent="0.45">
      <c r="K877">
        <v>330717.40965605743</v>
      </c>
    </row>
    <row r="878" spans="11:11" x14ac:dyDescent="0.45">
      <c r="K878">
        <v>322242.60687134892</v>
      </c>
    </row>
    <row r="879" spans="11:11" x14ac:dyDescent="0.45">
      <c r="K879">
        <v>338031.61918886687</v>
      </c>
    </row>
    <row r="880" spans="11:11" x14ac:dyDescent="0.45">
      <c r="K880">
        <v>350935.16084937163</v>
      </c>
    </row>
    <row r="881" spans="11:11" x14ac:dyDescent="0.45">
      <c r="K881">
        <v>348431.49866224907</v>
      </c>
    </row>
    <row r="882" spans="11:11" x14ac:dyDescent="0.45">
      <c r="K882">
        <v>352322.56938493467</v>
      </c>
    </row>
    <row r="883" spans="11:11" x14ac:dyDescent="0.45">
      <c r="K883">
        <v>337366.92202212452</v>
      </c>
    </row>
    <row r="884" spans="11:11" x14ac:dyDescent="0.45">
      <c r="K884">
        <v>339423.41467345797</v>
      </c>
    </row>
    <row r="885" spans="11:11" x14ac:dyDescent="0.45">
      <c r="K885">
        <v>351632.07013623108</v>
      </c>
    </row>
    <row r="886" spans="11:11" x14ac:dyDescent="0.45">
      <c r="K886">
        <v>350282.26817583846</v>
      </c>
    </row>
    <row r="887" spans="11:11" x14ac:dyDescent="0.45">
      <c r="K887">
        <v>335484.20525358198</v>
      </c>
    </row>
    <row r="888" spans="11:11" x14ac:dyDescent="0.45">
      <c r="K888">
        <v>338075.14503708167</v>
      </c>
    </row>
    <row r="889" spans="11:11" x14ac:dyDescent="0.45">
      <c r="K889">
        <v>342966.82861046115</v>
      </c>
    </row>
    <row r="890" spans="11:11" x14ac:dyDescent="0.45">
      <c r="K890">
        <v>333890.7194974554</v>
      </c>
    </row>
    <row r="891" spans="11:11" x14ac:dyDescent="0.45">
      <c r="K891">
        <v>340797.71634318255</v>
      </c>
    </row>
    <row r="892" spans="11:11" x14ac:dyDescent="0.45">
      <c r="K892">
        <v>344402.51496861718</v>
      </c>
    </row>
    <row r="893" spans="11:11" x14ac:dyDescent="0.45">
      <c r="K893">
        <v>344904.58431091666</v>
      </c>
    </row>
    <row r="894" spans="11:11" x14ac:dyDescent="0.45">
      <c r="K894">
        <v>354304.83938270039</v>
      </c>
    </row>
    <row r="895" spans="11:11" x14ac:dyDescent="0.45">
      <c r="K895">
        <v>333418.10519216349</v>
      </c>
    </row>
    <row r="896" spans="11:11" x14ac:dyDescent="0.45">
      <c r="K896">
        <v>348813.79475887015</v>
      </c>
    </row>
    <row r="897" spans="11:11" x14ac:dyDescent="0.45">
      <c r="K897">
        <v>337191.80480198853</v>
      </c>
    </row>
    <row r="898" spans="11:11" x14ac:dyDescent="0.45">
      <c r="K898">
        <v>352119.39567717077</v>
      </c>
    </row>
    <row r="899" spans="11:11" x14ac:dyDescent="0.45">
      <c r="K899">
        <v>347305.40747073368</v>
      </c>
    </row>
    <row r="900" spans="11:11" x14ac:dyDescent="0.45">
      <c r="K900">
        <v>347357.92569688399</v>
      </c>
    </row>
    <row r="901" spans="11:11" x14ac:dyDescent="0.45">
      <c r="K901">
        <v>350114.36818158644</v>
      </c>
    </row>
    <row r="902" spans="11:11" x14ac:dyDescent="0.45">
      <c r="K902">
        <v>332777.11976643297</v>
      </c>
    </row>
    <row r="903" spans="11:11" x14ac:dyDescent="0.45">
      <c r="K903">
        <v>348629.03262576426</v>
      </c>
    </row>
    <row r="904" spans="11:11" x14ac:dyDescent="0.45">
      <c r="K904">
        <v>344219.06672538357</v>
      </c>
    </row>
    <row r="905" spans="11:11" x14ac:dyDescent="0.45">
      <c r="K905">
        <v>350375.89251237246</v>
      </c>
    </row>
    <row r="906" spans="11:11" x14ac:dyDescent="0.45">
      <c r="K906">
        <v>327615.97771594313</v>
      </c>
    </row>
    <row r="907" spans="11:11" x14ac:dyDescent="0.45">
      <c r="K907">
        <v>344940.53362425737</v>
      </c>
    </row>
    <row r="908" spans="11:11" x14ac:dyDescent="0.45">
      <c r="K908">
        <v>335714.20532098238</v>
      </c>
    </row>
    <row r="909" spans="11:11" x14ac:dyDescent="0.45">
      <c r="K909">
        <v>348786.96928808466</v>
      </c>
    </row>
    <row r="910" spans="11:11" x14ac:dyDescent="0.45">
      <c r="K910">
        <v>335767.81991696911</v>
      </c>
    </row>
    <row r="911" spans="11:11" x14ac:dyDescent="0.45">
      <c r="K911">
        <v>342522.90885325591</v>
      </c>
    </row>
    <row r="912" spans="11:11" x14ac:dyDescent="0.45">
      <c r="K912">
        <v>347656.04316544323</v>
      </c>
    </row>
    <row r="913" spans="11:11" x14ac:dyDescent="0.45">
      <c r="K913">
        <v>339588.9115933252</v>
      </c>
    </row>
    <row r="914" spans="11:11" x14ac:dyDescent="0.45">
      <c r="K914">
        <v>339652.97480221122</v>
      </c>
    </row>
    <row r="915" spans="11:11" x14ac:dyDescent="0.45">
      <c r="K915">
        <v>343851.7507148821</v>
      </c>
    </row>
    <row r="916" spans="11:11" x14ac:dyDescent="0.45">
      <c r="K916">
        <v>341265.5558229044</v>
      </c>
    </row>
    <row r="917" spans="11:11" x14ac:dyDescent="0.45">
      <c r="K917">
        <v>344375.56628351752</v>
      </c>
    </row>
    <row r="918" spans="11:11" x14ac:dyDescent="0.45">
      <c r="K918">
        <v>351123.94765239191</v>
      </c>
    </row>
    <row r="919" spans="11:11" x14ac:dyDescent="0.45">
      <c r="K919">
        <v>347626.93248159159</v>
      </c>
    </row>
    <row r="920" spans="11:11" x14ac:dyDescent="0.45">
      <c r="K920">
        <v>352757.41624338034</v>
      </c>
    </row>
    <row r="921" spans="11:11" x14ac:dyDescent="0.45">
      <c r="K921">
        <v>338583.65593726852</v>
      </c>
    </row>
    <row r="922" spans="11:11" x14ac:dyDescent="0.45">
      <c r="K922">
        <v>339416.7679832807</v>
      </c>
    </row>
    <row r="923" spans="11:11" x14ac:dyDescent="0.45">
      <c r="K923">
        <v>336739.43935780518</v>
      </c>
    </row>
    <row r="924" spans="11:11" x14ac:dyDescent="0.45">
      <c r="K924">
        <v>340341.06411845644</v>
      </c>
    </row>
    <row r="925" spans="11:11" x14ac:dyDescent="0.45">
      <c r="K925">
        <v>333930.08461173403</v>
      </c>
    </row>
    <row r="926" spans="11:11" x14ac:dyDescent="0.45">
      <c r="K926">
        <v>325824.4109802437</v>
      </c>
    </row>
    <row r="927" spans="11:11" x14ac:dyDescent="0.45">
      <c r="K927">
        <v>342944.48771954427</v>
      </c>
    </row>
    <row r="928" spans="11:11" x14ac:dyDescent="0.45">
      <c r="K928">
        <v>338884.96846353449</v>
      </c>
    </row>
    <row r="929" spans="11:11" x14ac:dyDescent="0.45">
      <c r="K929">
        <v>336126.67863675195</v>
      </c>
    </row>
    <row r="930" spans="11:11" x14ac:dyDescent="0.45">
      <c r="K930">
        <v>352628.51452401123</v>
      </c>
    </row>
    <row r="931" spans="11:11" x14ac:dyDescent="0.45">
      <c r="K931">
        <v>349922.10258718522</v>
      </c>
    </row>
    <row r="932" spans="11:11" x14ac:dyDescent="0.45">
      <c r="K932">
        <v>339845.11762080103</v>
      </c>
    </row>
    <row r="933" spans="11:11" x14ac:dyDescent="0.45">
      <c r="K933">
        <v>337226.33201134321</v>
      </c>
    </row>
    <row r="934" spans="11:11" x14ac:dyDescent="0.45">
      <c r="K934">
        <v>346746.93313585623</v>
      </c>
    </row>
    <row r="935" spans="11:11" x14ac:dyDescent="0.45">
      <c r="K935">
        <v>346921.03245918528</v>
      </c>
    </row>
    <row r="936" spans="11:11" x14ac:dyDescent="0.45">
      <c r="K936">
        <v>343060.28074393101</v>
      </c>
    </row>
    <row r="937" spans="11:11" x14ac:dyDescent="0.45">
      <c r="K937">
        <v>340310.17490903946</v>
      </c>
    </row>
    <row r="938" spans="11:11" x14ac:dyDescent="0.45">
      <c r="K938">
        <v>343313.05797209562</v>
      </c>
    </row>
    <row r="939" spans="11:11" x14ac:dyDescent="0.45">
      <c r="K939">
        <v>338614.04564437288</v>
      </c>
    </row>
    <row r="940" spans="11:11" x14ac:dyDescent="0.45">
      <c r="K940">
        <v>330288.86882700049</v>
      </c>
    </row>
    <row r="941" spans="11:11" x14ac:dyDescent="0.45">
      <c r="K941">
        <v>337308.34862799954</v>
      </c>
    </row>
    <row r="942" spans="11:11" x14ac:dyDescent="0.45">
      <c r="K942">
        <v>349851.03177525621</v>
      </c>
    </row>
    <row r="943" spans="11:11" x14ac:dyDescent="0.45">
      <c r="K943">
        <v>336810.85182539251</v>
      </c>
    </row>
    <row r="944" spans="11:11" x14ac:dyDescent="0.45">
      <c r="K944">
        <v>340316.16334068187</v>
      </c>
    </row>
    <row r="945" spans="11:11" x14ac:dyDescent="0.45">
      <c r="K945">
        <v>337729.20490133</v>
      </c>
    </row>
    <row r="946" spans="11:11" x14ac:dyDescent="0.45">
      <c r="K946">
        <v>346126.10097731103</v>
      </c>
    </row>
    <row r="947" spans="11:11" x14ac:dyDescent="0.45">
      <c r="K947">
        <v>337700.66939816857</v>
      </c>
    </row>
    <row r="948" spans="11:11" x14ac:dyDescent="0.45">
      <c r="K948">
        <v>345419.6842698527</v>
      </c>
    </row>
    <row r="949" spans="11:11" x14ac:dyDescent="0.45">
      <c r="K949">
        <v>341014.56940883223</v>
      </c>
    </row>
    <row r="950" spans="11:11" x14ac:dyDescent="0.45">
      <c r="K950">
        <v>343937.01352546917</v>
      </c>
    </row>
    <row r="951" spans="11:11" x14ac:dyDescent="0.45">
      <c r="K951">
        <v>356331.40696813184</v>
      </c>
    </row>
    <row r="952" spans="11:11" x14ac:dyDescent="0.45">
      <c r="K952">
        <v>332955.70776456263</v>
      </c>
    </row>
    <row r="953" spans="11:11" x14ac:dyDescent="0.45">
      <c r="K953">
        <v>345537.90717880172</v>
      </c>
    </row>
    <row r="954" spans="11:11" x14ac:dyDescent="0.45">
      <c r="K954">
        <v>324755.19863047643</v>
      </c>
    </row>
    <row r="955" spans="11:11" x14ac:dyDescent="0.45">
      <c r="K955">
        <v>339249.56699870893</v>
      </c>
    </row>
    <row r="956" spans="11:11" x14ac:dyDescent="0.45">
      <c r="K956">
        <v>332785.94903930393</v>
      </c>
    </row>
    <row r="957" spans="11:11" x14ac:dyDescent="0.45">
      <c r="K957">
        <v>350872.79364041518</v>
      </c>
    </row>
    <row r="958" spans="11:11" x14ac:dyDescent="0.45">
      <c r="K958">
        <v>332900.2832869775</v>
      </c>
    </row>
    <row r="959" spans="11:11" x14ac:dyDescent="0.45">
      <c r="K959">
        <v>345915.07938565616</v>
      </c>
    </row>
    <row r="960" spans="11:11" x14ac:dyDescent="0.45">
      <c r="K960">
        <v>331095.41928401001</v>
      </c>
    </row>
    <row r="961" spans="11:11" x14ac:dyDescent="0.45">
      <c r="K961">
        <v>320388.10222648818</v>
      </c>
    </row>
    <row r="962" spans="11:11" x14ac:dyDescent="0.45">
      <c r="K962">
        <v>350773.68308621889</v>
      </c>
    </row>
    <row r="963" spans="11:11" x14ac:dyDescent="0.45">
      <c r="K963">
        <v>339976.25117620645</v>
      </c>
    </row>
    <row r="964" spans="11:11" x14ac:dyDescent="0.45">
      <c r="K964">
        <v>346510.75256652985</v>
      </c>
    </row>
    <row r="965" spans="11:11" x14ac:dyDescent="0.45">
      <c r="K965">
        <v>337729.3987599705</v>
      </c>
    </row>
    <row r="966" spans="11:11" x14ac:dyDescent="0.45">
      <c r="K966">
        <v>332511.38265174069</v>
      </c>
    </row>
    <row r="967" spans="11:11" x14ac:dyDescent="0.45">
      <c r="K967">
        <v>327645.16021223337</v>
      </c>
    </row>
    <row r="968" spans="11:11" x14ac:dyDescent="0.45">
      <c r="K968">
        <v>343569.54872756614</v>
      </c>
    </row>
    <row r="969" spans="11:11" x14ac:dyDescent="0.45">
      <c r="K969">
        <v>333288.49489040062</v>
      </c>
    </row>
    <row r="970" spans="11:11" x14ac:dyDescent="0.45">
      <c r="K970">
        <v>353391.13885139697</v>
      </c>
    </row>
    <row r="971" spans="11:11" x14ac:dyDescent="0.45">
      <c r="K971">
        <v>343453.97279769636</v>
      </c>
    </row>
    <row r="972" spans="11:11" x14ac:dyDescent="0.45">
      <c r="K972">
        <v>340549.47313340532</v>
      </c>
    </row>
    <row r="973" spans="11:11" x14ac:dyDescent="0.45">
      <c r="K973">
        <v>345374.19254167634</v>
      </c>
    </row>
    <row r="974" spans="11:11" x14ac:dyDescent="0.45">
      <c r="K974">
        <v>333239.27856974781</v>
      </c>
    </row>
    <row r="975" spans="11:11" x14ac:dyDescent="0.45">
      <c r="K975">
        <v>350682.36071499693</v>
      </c>
    </row>
    <row r="976" spans="11:11" x14ac:dyDescent="0.45">
      <c r="K976">
        <v>352858.33705034835</v>
      </c>
    </row>
    <row r="977" spans="11:11" x14ac:dyDescent="0.45">
      <c r="K977">
        <v>332368.03504712111</v>
      </c>
    </row>
    <row r="978" spans="11:11" x14ac:dyDescent="0.45">
      <c r="K978">
        <v>342624.15068021358</v>
      </c>
    </row>
    <row r="979" spans="11:11" x14ac:dyDescent="0.45">
      <c r="K979">
        <v>344897.0251540537</v>
      </c>
    </row>
    <row r="980" spans="11:11" x14ac:dyDescent="0.45">
      <c r="K980">
        <v>343472.77038474788</v>
      </c>
    </row>
    <row r="981" spans="11:11" x14ac:dyDescent="0.45">
      <c r="K981">
        <v>322554.29965131107</v>
      </c>
    </row>
    <row r="982" spans="11:11" x14ac:dyDescent="0.45">
      <c r="K982">
        <v>342336.77734550386</v>
      </c>
    </row>
    <row r="983" spans="11:11" x14ac:dyDescent="0.45">
      <c r="K983">
        <v>339579.88825725502</v>
      </c>
    </row>
    <row r="984" spans="11:11" x14ac:dyDescent="0.45">
      <c r="K984">
        <v>333946.91000755184</v>
      </c>
    </row>
    <row r="985" spans="11:11" x14ac:dyDescent="0.45">
      <c r="K985">
        <v>340756.92827439663</v>
      </c>
    </row>
    <row r="986" spans="11:11" x14ac:dyDescent="0.45">
      <c r="K986">
        <v>342042.9054624862</v>
      </c>
    </row>
    <row r="987" spans="11:11" x14ac:dyDescent="0.45">
      <c r="K987">
        <v>347380.96413358091</v>
      </c>
    </row>
    <row r="988" spans="11:11" x14ac:dyDescent="0.45">
      <c r="K988">
        <v>341168.45691875485</v>
      </c>
    </row>
    <row r="989" spans="11:11" x14ac:dyDescent="0.45">
      <c r="K989">
        <v>339944.34388609801</v>
      </c>
    </row>
    <row r="990" spans="11:11" x14ac:dyDescent="0.45">
      <c r="K990">
        <v>351782.98249338672</v>
      </c>
    </row>
    <row r="991" spans="11:11" x14ac:dyDescent="0.45">
      <c r="K991">
        <v>343666.2656311898</v>
      </c>
    </row>
    <row r="992" spans="11:11" x14ac:dyDescent="0.45">
      <c r="K992">
        <v>339629.4598469201</v>
      </c>
    </row>
    <row r="993" spans="11:11" x14ac:dyDescent="0.45">
      <c r="K993">
        <v>346546.34420470503</v>
      </c>
    </row>
    <row r="994" spans="11:11" x14ac:dyDescent="0.45">
      <c r="K994">
        <v>351231.48566662037</v>
      </c>
    </row>
    <row r="995" spans="11:11" x14ac:dyDescent="0.45">
      <c r="K995">
        <v>351818.39958099648</v>
      </c>
    </row>
    <row r="996" spans="11:11" x14ac:dyDescent="0.45">
      <c r="K996">
        <v>356588.2534069246</v>
      </c>
    </row>
    <row r="997" spans="11:11" x14ac:dyDescent="0.45">
      <c r="K997">
        <v>334371.34527242108</v>
      </c>
    </row>
    <row r="998" spans="11:11" x14ac:dyDescent="0.45">
      <c r="K998">
        <v>352102.79663582426</v>
      </c>
    </row>
    <row r="999" spans="11:11" x14ac:dyDescent="0.45">
      <c r="K999">
        <v>355664.29450993252</v>
      </c>
    </row>
    <row r="1000" spans="11:11" x14ac:dyDescent="0.45">
      <c r="K1000">
        <v>333384.44793347211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iclos">
                <anchor moveWithCells="1" sizeWithCells="1">
                  <from>
                    <xdr:col>5</xdr:col>
                    <xdr:colOff>47625</xdr:colOff>
                    <xdr:row>2</xdr:row>
                    <xdr:rowOff>0</xdr:rowOff>
                  </from>
                  <to>
                    <xdr:col>6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C7BC4-02DB-40B0-AFC3-04442E0EE4C2}">
  <dimension ref="A2:AQ76"/>
  <sheetViews>
    <sheetView tabSelected="1" workbookViewId="0">
      <selection sqref="A1:AQ76"/>
    </sheetView>
  </sheetViews>
  <sheetFormatPr baseColWidth="10" defaultRowHeight="14.25" x14ac:dyDescent="0.45"/>
  <sheetData>
    <row r="2" spans="2:36" x14ac:dyDescent="0.45">
      <c r="B2" s="60" t="s">
        <v>66</v>
      </c>
      <c r="C2" s="61">
        <v>0.15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</row>
    <row r="3" spans="2:36" x14ac:dyDescent="0.45">
      <c r="B3" s="60" t="s">
        <v>67</v>
      </c>
      <c r="C3" s="61">
        <v>0.65</v>
      </c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</row>
    <row r="5" spans="2:36" x14ac:dyDescent="0.45">
      <c r="B5" s="59"/>
      <c r="C5" s="53" t="s">
        <v>68</v>
      </c>
      <c r="D5" s="53"/>
      <c r="E5" s="53" t="s">
        <v>69</v>
      </c>
      <c r="F5" s="53"/>
      <c r="G5" s="53"/>
      <c r="H5" s="53"/>
      <c r="I5" s="53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</row>
    <row r="6" spans="2:36" x14ac:dyDescent="0.45">
      <c r="B6" s="59"/>
      <c r="C6" s="60" t="s">
        <v>70</v>
      </c>
      <c r="D6" s="60" t="s">
        <v>71</v>
      </c>
      <c r="E6" s="60" t="s">
        <v>72</v>
      </c>
      <c r="F6" s="60" t="s">
        <v>73</v>
      </c>
      <c r="G6" s="60" t="s">
        <v>74</v>
      </c>
      <c r="H6" s="60" t="s">
        <v>75</v>
      </c>
      <c r="I6" s="60" t="s">
        <v>76</v>
      </c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</row>
    <row r="7" spans="2:36" x14ac:dyDescent="0.45">
      <c r="B7" s="60" t="s">
        <v>77</v>
      </c>
      <c r="C7" s="53">
        <v>100</v>
      </c>
      <c r="D7" s="53"/>
      <c r="E7" s="53"/>
      <c r="F7" s="53"/>
      <c r="G7" s="53"/>
      <c r="H7" s="53"/>
      <c r="I7" s="60" t="s">
        <v>78</v>
      </c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</row>
    <row r="8" spans="2:36" x14ac:dyDescent="0.45">
      <c r="B8" s="60" t="s">
        <v>79</v>
      </c>
      <c r="C8" s="53">
        <v>140</v>
      </c>
      <c r="D8" s="53"/>
      <c r="E8" s="53"/>
      <c r="F8" s="53"/>
      <c r="G8" s="53"/>
      <c r="H8" s="53"/>
      <c r="I8" s="60" t="s">
        <v>78</v>
      </c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</row>
    <row r="9" spans="2:36" x14ac:dyDescent="0.45">
      <c r="B9" s="60" t="s">
        <v>80</v>
      </c>
      <c r="C9" s="54">
        <v>0.1</v>
      </c>
      <c r="D9" s="53"/>
      <c r="E9" s="53"/>
      <c r="F9" s="53"/>
      <c r="G9" s="53"/>
      <c r="H9" s="53"/>
      <c r="I9" s="60" t="s">
        <v>81</v>
      </c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</row>
    <row r="10" spans="2:36" x14ac:dyDescent="0.45">
      <c r="B10" s="60" t="s">
        <v>82</v>
      </c>
      <c r="C10" s="54">
        <v>0.05</v>
      </c>
      <c r="D10" s="53"/>
      <c r="E10" s="53"/>
      <c r="F10" s="53"/>
      <c r="G10" s="53"/>
      <c r="H10" s="53"/>
      <c r="I10" s="60" t="s">
        <v>81</v>
      </c>
      <c r="J10" s="59"/>
      <c r="K10" s="59"/>
      <c r="L10" s="59"/>
      <c r="M10" s="59"/>
      <c r="N10" s="60" t="s">
        <v>83</v>
      </c>
      <c r="O10" s="60">
        <v>300</v>
      </c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</row>
    <row r="11" spans="2:36" x14ac:dyDescent="0.45">
      <c r="B11" s="60" t="s">
        <v>84</v>
      </c>
      <c r="C11" s="60">
        <v>4400</v>
      </c>
      <c r="D11" s="60">
        <v>6000</v>
      </c>
      <c r="E11" s="60">
        <v>2000</v>
      </c>
      <c r="F11" s="60">
        <v>3000</v>
      </c>
      <c r="G11" s="60">
        <v>4000</v>
      </c>
      <c r="H11" s="60">
        <v>6000</v>
      </c>
      <c r="I11" s="60" t="s">
        <v>85</v>
      </c>
      <c r="J11" s="59"/>
      <c r="K11" s="59"/>
      <c r="L11" s="59"/>
      <c r="M11" s="59"/>
      <c r="N11" s="60" t="s">
        <v>86</v>
      </c>
      <c r="O11" s="60">
        <v>502</v>
      </c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</row>
    <row r="12" spans="2:36" x14ac:dyDescent="0.45">
      <c r="B12" s="60" t="s">
        <v>87</v>
      </c>
      <c r="C12" s="60" t="s">
        <v>88</v>
      </c>
      <c r="D12" s="60" t="s">
        <v>89</v>
      </c>
      <c r="E12" s="60" t="s">
        <v>90</v>
      </c>
      <c r="F12" s="60" t="s">
        <v>91</v>
      </c>
      <c r="G12" s="60" t="s">
        <v>92</v>
      </c>
      <c r="H12" s="60" t="s">
        <v>93</v>
      </c>
      <c r="I12" s="60" t="s">
        <v>85</v>
      </c>
      <c r="J12" s="59"/>
      <c r="K12" s="59"/>
      <c r="L12" s="59"/>
      <c r="M12" s="59"/>
      <c r="N12" s="60" t="s">
        <v>94</v>
      </c>
      <c r="O12" s="60">
        <v>490</v>
      </c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</row>
    <row r="13" spans="2:36" x14ac:dyDescent="0.45">
      <c r="B13" s="60" t="s">
        <v>95</v>
      </c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60" t="s">
        <v>96</v>
      </c>
      <c r="O13" s="60">
        <v>910</v>
      </c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</row>
    <row r="14" spans="2:36" ht="14.65" thickBot="1" x14ac:dyDescent="0.5">
      <c r="B14" s="60" t="s">
        <v>97</v>
      </c>
      <c r="C14" s="62">
        <v>25</v>
      </c>
      <c r="D14" s="62">
        <v>25</v>
      </c>
      <c r="E14" s="62">
        <v>12</v>
      </c>
      <c r="F14" s="62">
        <v>20</v>
      </c>
      <c r="G14" s="62">
        <v>20</v>
      </c>
      <c r="H14" s="60">
        <v>25</v>
      </c>
      <c r="I14" s="60" t="s">
        <v>81</v>
      </c>
      <c r="J14" s="59"/>
      <c r="K14" s="59"/>
      <c r="L14" s="59"/>
      <c r="M14" s="59"/>
      <c r="N14" s="60" t="s">
        <v>98</v>
      </c>
      <c r="O14" s="60">
        <v>1783</v>
      </c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</row>
    <row r="15" spans="2:36" ht="14.65" thickBot="1" x14ac:dyDescent="0.5">
      <c r="B15" s="60" t="s">
        <v>99</v>
      </c>
      <c r="C15" s="62">
        <v>8</v>
      </c>
      <c r="D15" s="62">
        <v>12</v>
      </c>
      <c r="E15" s="62" t="s">
        <v>100</v>
      </c>
      <c r="F15" s="62" t="s">
        <v>100</v>
      </c>
      <c r="G15" s="62" t="s">
        <v>100</v>
      </c>
      <c r="H15" s="59"/>
      <c r="I15" s="59"/>
      <c r="J15" s="59"/>
      <c r="K15" s="59"/>
      <c r="L15" s="59"/>
      <c r="M15" s="59"/>
      <c r="N15" s="60" t="s">
        <v>101</v>
      </c>
      <c r="O15" s="60">
        <v>1755.5</v>
      </c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64"/>
      <c r="AC15" s="93" t="s">
        <v>59</v>
      </c>
      <c r="AD15" s="94" t="s">
        <v>102</v>
      </c>
      <c r="AE15" s="94" t="s">
        <v>103</v>
      </c>
      <c r="AF15" s="94" t="s">
        <v>104</v>
      </c>
      <c r="AG15" s="94" t="s">
        <v>105</v>
      </c>
      <c r="AH15" s="95" t="s">
        <v>106</v>
      </c>
      <c r="AI15" s="64"/>
      <c r="AJ15" s="64"/>
    </row>
    <row r="16" spans="2:36" x14ac:dyDescent="0.45">
      <c r="B16" s="60" t="s">
        <v>107</v>
      </c>
      <c r="C16" s="62">
        <v>20</v>
      </c>
      <c r="D16" s="62">
        <v>25</v>
      </c>
      <c r="E16" s="62">
        <v>6</v>
      </c>
      <c r="F16" s="62">
        <v>12</v>
      </c>
      <c r="G16" s="62">
        <v>15</v>
      </c>
      <c r="H16" s="60">
        <v>30</v>
      </c>
      <c r="I16" s="60" t="s">
        <v>81</v>
      </c>
      <c r="J16" s="59"/>
      <c r="K16" s="59"/>
      <c r="L16" s="59"/>
      <c r="M16" s="59"/>
      <c r="N16" s="60" t="s">
        <v>108</v>
      </c>
      <c r="O16" s="60">
        <v>933.3</v>
      </c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64" t="s">
        <v>55</v>
      </c>
      <c r="AC16" s="90" t="s">
        <v>9</v>
      </c>
      <c r="AD16" s="96">
        <v>10.4831312104742</v>
      </c>
      <c r="AE16" s="97">
        <v>14.295178923373843</v>
      </c>
      <c r="AF16" s="97">
        <v>7.1475894616869216</v>
      </c>
      <c r="AG16" s="97">
        <v>9.5301192822492293</v>
      </c>
      <c r="AH16" s="98">
        <v>15.394808071325677</v>
      </c>
      <c r="AI16" s="64"/>
      <c r="AJ16" s="64"/>
    </row>
    <row r="17" spans="1:43" x14ac:dyDescent="0.45">
      <c r="A17" s="59"/>
      <c r="B17" s="60" t="s">
        <v>109</v>
      </c>
      <c r="C17" s="62">
        <v>12</v>
      </c>
      <c r="D17" s="62">
        <v>15</v>
      </c>
      <c r="E17" s="62">
        <v>8</v>
      </c>
      <c r="F17" s="62">
        <v>12</v>
      </c>
      <c r="G17" s="62">
        <v>15</v>
      </c>
      <c r="H17" s="60">
        <v>30</v>
      </c>
      <c r="I17" s="60" t="s">
        <v>81</v>
      </c>
      <c r="J17" s="59"/>
      <c r="K17" s="59"/>
      <c r="L17" s="59"/>
      <c r="M17" s="59"/>
      <c r="N17" s="60" t="s">
        <v>110</v>
      </c>
      <c r="O17" s="60">
        <v>744466</v>
      </c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64" t="s">
        <v>50</v>
      </c>
      <c r="AC17" s="90" t="s">
        <v>10</v>
      </c>
      <c r="AD17" s="99">
        <v>3.4943770701580497</v>
      </c>
      <c r="AE17" s="100">
        <v>4.7650596411246138</v>
      </c>
      <c r="AF17" s="100">
        <v>2.3825298205623069</v>
      </c>
      <c r="AG17" s="100">
        <v>3.1767064274164087</v>
      </c>
      <c r="AH17" s="101">
        <v>5.1316026904418921</v>
      </c>
      <c r="AI17" s="64"/>
      <c r="AJ17" s="64"/>
      <c r="AK17" s="59"/>
      <c r="AL17" s="59"/>
      <c r="AM17" s="59"/>
      <c r="AN17" s="59"/>
      <c r="AO17" s="59"/>
      <c r="AP17" s="59"/>
      <c r="AQ17" s="59"/>
    </row>
    <row r="18" spans="1:43" x14ac:dyDescent="0.45">
      <c r="A18" s="59"/>
      <c r="B18" s="60" t="s">
        <v>111</v>
      </c>
      <c r="C18" s="62" t="s">
        <v>100</v>
      </c>
      <c r="D18" s="62" t="s">
        <v>100</v>
      </c>
      <c r="E18" s="62">
        <v>4</v>
      </c>
      <c r="F18" s="62">
        <v>6</v>
      </c>
      <c r="G18" s="62">
        <v>8</v>
      </c>
      <c r="H18" s="60">
        <v>15</v>
      </c>
      <c r="I18" s="60" t="s">
        <v>81</v>
      </c>
      <c r="J18" s="59"/>
      <c r="K18" s="59"/>
      <c r="L18" s="59"/>
      <c r="M18" s="59"/>
      <c r="N18" s="60" t="s">
        <v>112</v>
      </c>
      <c r="O18" s="60">
        <v>713195</v>
      </c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64" t="s">
        <v>47</v>
      </c>
      <c r="AC18" s="90" t="s">
        <v>11</v>
      </c>
      <c r="AD18" s="99">
        <v>1.7471885350790248</v>
      </c>
      <c r="AE18" s="100">
        <v>3.9708830342705115E-2</v>
      </c>
      <c r="AF18" s="100" t="s">
        <v>100</v>
      </c>
      <c r="AG18" s="100">
        <v>1.5883532137082044</v>
      </c>
      <c r="AH18" s="101">
        <v>2.5658013452209461</v>
      </c>
      <c r="AI18" s="64"/>
      <c r="AJ18" s="64"/>
      <c r="AK18" s="59"/>
      <c r="AL18" s="59"/>
      <c r="AM18" s="59"/>
      <c r="AN18" s="59"/>
      <c r="AO18" s="59"/>
      <c r="AP18" s="59"/>
      <c r="AQ18" s="59"/>
    </row>
    <row r="19" spans="1:43" x14ac:dyDescent="0.45">
      <c r="A19" s="59"/>
      <c r="B19" s="60" t="s">
        <v>113</v>
      </c>
      <c r="C19" s="62" t="s">
        <v>100</v>
      </c>
      <c r="D19" s="62" t="s">
        <v>100</v>
      </c>
      <c r="E19" s="62">
        <v>3</v>
      </c>
      <c r="F19" s="62">
        <v>6</v>
      </c>
      <c r="G19" s="62">
        <v>8</v>
      </c>
      <c r="H19" s="60">
        <v>12</v>
      </c>
      <c r="I19" s="60" t="s">
        <v>81</v>
      </c>
      <c r="J19" s="59"/>
      <c r="K19" s="59"/>
      <c r="L19" s="59"/>
      <c r="M19" s="59"/>
      <c r="N19" s="60" t="s">
        <v>114</v>
      </c>
      <c r="O19" s="60">
        <v>576303</v>
      </c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64" t="s">
        <v>42</v>
      </c>
      <c r="AC19" s="90" t="s">
        <v>12</v>
      </c>
      <c r="AD19" s="99">
        <v>9.9414770131391546</v>
      </c>
      <c r="AE19" s="100">
        <v>13.556559563371575</v>
      </c>
      <c r="AF19" s="100">
        <v>6.7782797816857876</v>
      </c>
      <c r="AG19" s="100">
        <v>9.0377063755810507</v>
      </c>
      <c r="AH19" s="101">
        <v>16.684996385688091</v>
      </c>
      <c r="AI19" s="64"/>
      <c r="AJ19" s="64"/>
      <c r="AK19" s="59"/>
      <c r="AL19" s="59"/>
      <c r="AM19" s="59"/>
      <c r="AN19" s="59"/>
      <c r="AO19" s="59"/>
      <c r="AP19" s="59"/>
      <c r="AQ19" s="59"/>
    </row>
    <row r="20" spans="1:43" x14ac:dyDescent="0.45">
      <c r="A20" s="59"/>
      <c r="B20" s="60" t="s">
        <v>115</v>
      </c>
      <c r="C20" s="63">
        <v>52</v>
      </c>
      <c r="D20" s="63">
        <v>79</v>
      </c>
      <c r="E20" s="63">
        <v>17.3</v>
      </c>
      <c r="F20" s="63">
        <v>22</v>
      </c>
      <c r="G20" s="63">
        <v>26</v>
      </c>
      <c r="H20" s="64">
        <v>30.7</v>
      </c>
      <c r="I20" s="60" t="s">
        <v>116</v>
      </c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60" t="s">
        <v>37</v>
      </c>
      <c r="AC20" s="91" t="s">
        <v>13</v>
      </c>
      <c r="AD20" s="99">
        <v>3.3138256710463843</v>
      </c>
      <c r="AE20" s="100">
        <v>4.5188531877905245</v>
      </c>
      <c r="AF20" s="100">
        <v>2.2594265938952622</v>
      </c>
      <c r="AG20" s="100">
        <v>3.0125687918603496</v>
      </c>
      <c r="AH20" s="101">
        <v>3.4760409136850186</v>
      </c>
      <c r="AI20" s="59"/>
      <c r="AJ20" s="59"/>
      <c r="AK20" s="59"/>
      <c r="AL20" s="59"/>
      <c r="AM20" s="59"/>
      <c r="AN20" s="59"/>
      <c r="AO20" s="59"/>
      <c r="AP20" s="59"/>
      <c r="AQ20" s="59"/>
    </row>
    <row r="21" spans="1:43" x14ac:dyDescent="0.45">
      <c r="A21" s="59"/>
      <c r="B21" s="60" t="s">
        <v>117</v>
      </c>
      <c r="C21" s="60">
        <v>0.65</v>
      </c>
      <c r="D21" s="60">
        <v>0.65</v>
      </c>
      <c r="E21" s="60">
        <v>0.65</v>
      </c>
      <c r="F21" s="60">
        <v>0.65</v>
      </c>
      <c r="G21" s="60">
        <v>0.65</v>
      </c>
      <c r="H21" s="60">
        <v>0.7</v>
      </c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60" t="s">
        <v>35</v>
      </c>
      <c r="AC21" s="91" t="s">
        <v>14</v>
      </c>
      <c r="AD21" s="99">
        <v>1.9882954026278308</v>
      </c>
      <c r="AE21" s="100">
        <v>2.7113119126743142</v>
      </c>
      <c r="AF21" s="100">
        <v>1.3556559563371571</v>
      </c>
      <c r="AG21" s="100">
        <v>1.8075412751162097</v>
      </c>
      <c r="AH21" s="101">
        <v>1.2513747289266064</v>
      </c>
      <c r="AI21" s="59"/>
      <c r="AJ21" s="59"/>
      <c r="AK21" s="59"/>
      <c r="AL21" s="59"/>
      <c r="AM21" s="59"/>
      <c r="AN21" s="59"/>
      <c r="AO21" s="59"/>
      <c r="AP21" s="59"/>
      <c r="AQ21" s="59"/>
    </row>
    <row r="22" spans="1:43" x14ac:dyDescent="0.45">
      <c r="A22" s="59"/>
      <c r="B22" s="60" t="s">
        <v>118</v>
      </c>
      <c r="C22" s="53">
        <v>5.0000000000000001E-4</v>
      </c>
      <c r="D22" s="53"/>
      <c r="E22" s="53"/>
      <c r="F22" s="53"/>
      <c r="G22" s="53"/>
      <c r="H22" s="53"/>
      <c r="I22" s="60">
        <v>0.34202014332566882</v>
      </c>
      <c r="J22" s="60" t="s">
        <v>119</v>
      </c>
      <c r="K22" s="59"/>
      <c r="L22" s="60" t="s">
        <v>120</v>
      </c>
      <c r="M22" s="60" t="s">
        <v>121</v>
      </c>
      <c r="N22" s="65" t="s">
        <v>122</v>
      </c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60" t="s">
        <v>60</v>
      </c>
      <c r="AC22" s="91" t="s">
        <v>15</v>
      </c>
      <c r="AD22" s="99">
        <v>37.718492217208002</v>
      </c>
      <c r="AE22" s="100">
        <v>51.434307568920005</v>
      </c>
      <c r="AF22" s="100">
        <v>25.717153784460002</v>
      </c>
      <c r="AG22" s="100">
        <v>34.289538379279996</v>
      </c>
      <c r="AH22" s="101">
        <v>55.390792766529223</v>
      </c>
      <c r="AI22" s="59"/>
      <c r="AJ22" s="59"/>
      <c r="AK22" s="59"/>
      <c r="AL22" s="59"/>
      <c r="AM22" s="59"/>
      <c r="AN22" s="59"/>
      <c r="AO22" s="59"/>
      <c r="AP22" s="59"/>
      <c r="AQ22" s="59"/>
    </row>
    <row r="23" spans="1:43" x14ac:dyDescent="0.45">
      <c r="A23" s="59"/>
      <c r="B23" s="60" t="s">
        <v>123</v>
      </c>
      <c r="C23" s="60" t="s">
        <v>107</v>
      </c>
      <c r="D23" s="60">
        <v>7930</v>
      </c>
      <c r="E23" s="60" t="s">
        <v>124</v>
      </c>
      <c r="F23" s="60">
        <v>7850</v>
      </c>
      <c r="G23" s="60" t="s">
        <v>109</v>
      </c>
      <c r="H23" s="60">
        <v>2700</v>
      </c>
      <c r="I23" s="59"/>
      <c r="J23" s="59"/>
      <c r="K23" s="59"/>
      <c r="L23" s="60">
        <v>0.8</v>
      </c>
      <c r="M23" s="60">
        <v>0.5</v>
      </c>
      <c r="N23" s="60">
        <v>0.3</v>
      </c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60" t="s">
        <v>61</v>
      </c>
      <c r="AC23" s="91" t="s">
        <v>16</v>
      </c>
      <c r="AD23" s="99">
        <v>18.859246108604001</v>
      </c>
      <c r="AE23" s="100">
        <v>25.717153784460002</v>
      </c>
      <c r="AF23" s="100">
        <v>12.858576892230001</v>
      </c>
      <c r="AG23" s="100">
        <v>17.144769189639998</v>
      </c>
      <c r="AH23" s="101">
        <v>27.695396383264612</v>
      </c>
      <c r="AI23" s="59"/>
      <c r="AJ23" s="59"/>
      <c r="AK23" s="59"/>
      <c r="AL23" s="59"/>
      <c r="AM23" s="59"/>
      <c r="AN23" s="59"/>
      <c r="AO23" s="59"/>
      <c r="AP23" s="59"/>
      <c r="AQ23" s="59"/>
    </row>
    <row r="24" spans="1:43" ht="14.65" thickBot="1" x14ac:dyDescent="0.5">
      <c r="A24" s="59"/>
      <c r="B24" s="66" t="s">
        <v>125</v>
      </c>
      <c r="C24" s="66"/>
      <c r="D24" s="66">
        <v>744466</v>
      </c>
      <c r="E24" s="66"/>
      <c r="F24" s="66">
        <v>713195</v>
      </c>
      <c r="G24" s="66"/>
      <c r="H24" s="66">
        <v>576303</v>
      </c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60" t="s">
        <v>62</v>
      </c>
      <c r="AC24" s="91" t="s">
        <v>17</v>
      </c>
      <c r="AD24" s="99">
        <v>12.572830739069332</v>
      </c>
      <c r="AE24" s="100">
        <v>17.144769189639998</v>
      </c>
      <c r="AF24" s="100">
        <v>8.572384594819999</v>
      </c>
      <c r="AG24" s="100">
        <v>11.429846126426666</v>
      </c>
      <c r="AH24" s="101">
        <v>18.463597588843076</v>
      </c>
      <c r="AI24" s="59"/>
      <c r="AJ24" s="59"/>
      <c r="AK24" s="59"/>
      <c r="AL24" s="59"/>
      <c r="AM24" s="60" t="s">
        <v>126</v>
      </c>
      <c r="AN24" s="60">
        <v>9.2799999999999994</v>
      </c>
      <c r="AO24" s="60">
        <v>10</v>
      </c>
      <c r="AP24" s="60">
        <v>10</v>
      </c>
      <c r="AQ24" s="60" t="s">
        <v>127</v>
      </c>
    </row>
    <row r="25" spans="1:43" ht="14.65" thickBot="1" x14ac:dyDescent="0.5">
      <c r="A25" s="59"/>
      <c r="B25" s="60" t="s">
        <v>128</v>
      </c>
      <c r="C25" s="60">
        <v>1</v>
      </c>
      <c r="D25" s="60">
        <v>1.5</v>
      </c>
      <c r="E25" s="60">
        <v>2</v>
      </c>
      <c r="F25" s="60">
        <v>3</v>
      </c>
      <c r="G25" s="60">
        <v>4</v>
      </c>
      <c r="H25" s="60">
        <v>5</v>
      </c>
      <c r="I25" s="60">
        <v>6</v>
      </c>
      <c r="J25" s="60">
        <v>8</v>
      </c>
      <c r="K25" s="60">
        <v>10</v>
      </c>
      <c r="L25" s="60">
        <v>12</v>
      </c>
      <c r="M25" s="60">
        <v>15</v>
      </c>
      <c r="N25" s="60">
        <v>20</v>
      </c>
      <c r="O25" s="59"/>
      <c r="P25" s="59"/>
      <c r="Q25" s="59"/>
      <c r="R25" s="59"/>
      <c r="S25" s="67" t="s">
        <v>129</v>
      </c>
      <c r="T25" s="58" t="s">
        <v>68</v>
      </c>
      <c r="U25" s="57"/>
      <c r="V25" s="56" t="s">
        <v>69</v>
      </c>
      <c r="W25" s="55"/>
      <c r="X25" s="57"/>
      <c r="Y25" s="59"/>
      <c r="Z25" s="59"/>
      <c r="AA25" s="59"/>
      <c r="AB25" s="60" t="s">
        <v>63</v>
      </c>
      <c r="AC25" s="91" t="s">
        <v>18</v>
      </c>
      <c r="AD25" s="99">
        <v>6.81</v>
      </c>
      <c r="AE25" s="100">
        <v>9.2799999999999994</v>
      </c>
      <c r="AF25" s="100" t="s">
        <v>100</v>
      </c>
      <c r="AG25" s="100" t="s">
        <v>100</v>
      </c>
      <c r="AH25" s="101" t="s">
        <v>100</v>
      </c>
      <c r="AI25" s="59"/>
      <c r="AJ25" s="59"/>
      <c r="AK25" s="59"/>
      <c r="AL25" s="59"/>
      <c r="AM25" s="60" t="s">
        <v>130</v>
      </c>
      <c r="AN25" s="60">
        <v>10</v>
      </c>
      <c r="AO25" s="60">
        <v>18.809999999999999</v>
      </c>
      <c r="AP25" s="60">
        <v>25.07</v>
      </c>
      <c r="AQ25" s="60" t="s">
        <v>131</v>
      </c>
    </row>
    <row r="26" spans="1:43" ht="14.65" thickBot="1" x14ac:dyDescent="0.5">
      <c r="A26" s="59"/>
      <c r="B26" s="59"/>
      <c r="C26" s="60">
        <v>0.8</v>
      </c>
      <c r="D26" s="60">
        <v>0.8</v>
      </c>
      <c r="E26" s="60">
        <v>0.8</v>
      </c>
      <c r="F26" s="60">
        <v>0.8</v>
      </c>
      <c r="G26" s="60">
        <v>0.5</v>
      </c>
      <c r="H26" s="60">
        <v>0.5</v>
      </c>
      <c r="I26" s="60">
        <v>0.5</v>
      </c>
      <c r="J26" s="60">
        <v>0.5</v>
      </c>
      <c r="K26" s="60">
        <v>0.3</v>
      </c>
      <c r="L26" s="60">
        <v>0.3</v>
      </c>
      <c r="M26" s="60">
        <v>0.3</v>
      </c>
      <c r="N26" s="59"/>
      <c r="O26" s="59"/>
      <c r="P26" s="59"/>
      <c r="Q26" s="59"/>
      <c r="R26" s="59"/>
      <c r="S26" s="67" t="s">
        <v>132</v>
      </c>
      <c r="T26" s="68">
        <v>4000</v>
      </c>
      <c r="U26" s="69">
        <v>6000</v>
      </c>
      <c r="V26" s="70">
        <v>3000</v>
      </c>
      <c r="W26" s="71">
        <v>4000</v>
      </c>
      <c r="X26" s="69">
        <v>6000</v>
      </c>
      <c r="Y26" s="59"/>
      <c r="Z26" s="59"/>
      <c r="AA26" s="59"/>
      <c r="AB26" s="60" t="s">
        <v>64</v>
      </c>
      <c r="AC26" s="92" t="s">
        <v>19</v>
      </c>
      <c r="AD26" s="102" t="s">
        <v>100</v>
      </c>
      <c r="AE26" s="103" t="s">
        <v>100</v>
      </c>
      <c r="AF26" s="103">
        <v>18.809999999999999</v>
      </c>
      <c r="AG26" s="103">
        <v>25.07</v>
      </c>
      <c r="AH26" s="104">
        <v>41.9</v>
      </c>
      <c r="AI26" s="59"/>
      <c r="AJ26" s="59"/>
      <c r="AK26" s="59"/>
      <c r="AL26" s="59"/>
      <c r="AM26" s="59"/>
      <c r="AN26" s="59"/>
      <c r="AO26" s="59"/>
      <c r="AP26" s="59"/>
      <c r="AQ26" s="59"/>
    </row>
    <row r="27" spans="1:43" x14ac:dyDescent="0.45">
      <c r="A27" s="60" t="s">
        <v>107</v>
      </c>
      <c r="B27" s="72">
        <v>2000</v>
      </c>
      <c r="C27" s="60">
        <v>0.1506284395930175</v>
      </c>
      <c r="D27" s="60">
        <v>6.0251375837206993</v>
      </c>
      <c r="E27" s="60">
        <v>4.5188531877905254</v>
      </c>
      <c r="F27" s="60">
        <v>3.0125687918603496</v>
      </c>
      <c r="G27" s="60">
        <v>2.2594265938952627</v>
      </c>
      <c r="H27" s="60">
        <v>1.8075412751162097</v>
      </c>
      <c r="I27" s="60">
        <v>1.5062843959301748</v>
      </c>
      <c r="J27" s="60">
        <v>1.1297132969476313</v>
      </c>
      <c r="K27" s="60">
        <v>0.90377063755810483</v>
      </c>
      <c r="L27" s="60" t="s">
        <v>100</v>
      </c>
      <c r="M27" s="60" t="s">
        <v>100</v>
      </c>
      <c r="N27" s="60" t="s">
        <v>100</v>
      </c>
      <c r="O27" s="59"/>
      <c r="P27" s="59"/>
      <c r="Q27" s="59"/>
      <c r="R27" s="59"/>
      <c r="S27" s="73" t="s">
        <v>57</v>
      </c>
      <c r="T27" s="74">
        <v>20.966262420948301</v>
      </c>
      <c r="U27" s="75">
        <v>28.590357846747686</v>
      </c>
      <c r="V27" s="76">
        <v>14.295178923373843</v>
      </c>
      <c r="W27" s="77">
        <v>19.060238564498459</v>
      </c>
      <c r="X27" s="75">
        <v>30.789616142651354</v>
      </c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</row>
    <row r="28" spans="1:43" x14ac:dyDescent="0.45">
      <c r="A28" s="59"/>
      <c r="B28" s="72"/>
      <c r="C28" s="66">
        <v>0.18538884872986769</v>
      </c>
      <c r="D28" s="66">
        <v>0.12359256581991178</v>
      </c>
      <c r="E28" s="66">
        <v>9.2694424364933845E-2</v>
      </c>
      <c r="F28" s="66">
        <v>6.1796282909955889E-2</v>
      </c>
      <c r="G28" s="66">
        <v>2.8967007614041824E-2</v>
      </c>
      <c r="H28" s="66">
        <v>2.3173606091233454E-2</v>
      </c>
      <c r="I28" s="66">
        <v>1.9311338409361212E-2</v>
      </c>
      <c r="J28" s="66">
        <v>1.4483503807020912E-2</v>
      </c>
      <c r="K28" s="66">
        <v>6.9520818273700368E-3</v>
      </c>
      <c r="L28" s="59"/>
      <c r="M28" s="59"/>
      <c r="N28" s="59"/>
      <c r="O28" s="59"/>
      <c r="P28" s="59"/>
      <c r="Q28" s="59"/>
      <c r="R28" s="59"/>
      <c r="S28" s="78" t="s">
        <v>56</v>
      </c>
      <c r="T28" s="79">
        <v>13.9775082806322</v>
      </c>
      <c r="U28" s="80">
        <v>19.060238564498455</v>
      </c>
      <c r="V28" s="81">
        <v>9.5301192822492293</v>
      </c>
      <c r="W28" s="82">
        <v>12.706825709665635</v>
      </c>
      <c r="X28" s="80">
        <v>20.526410761767568</v>
      </c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</row>
    <row r="29" spans="1:43" x14ac:dyDescent="0.45">
      <c r="A29" s="59"/>
      <c r="B29" s="72">
        <v>3000</v>
      </c>
      <c r="C29" s="60">
        <v>13.556559563371575</v>
      </c>
      <c r="D29" s="60">
        <v>9.0377063755810489</v>
      </c>
      <c r="E29" s="60">
        <v>6.7782797816857876</v>
      </c>
      <c r="F29" s="60">
        <v>4.5188531877905245</v>
      </c>
      <c r="G29" s="60">
        <v>3.3891398908428938</v>
      </c>
      <c r="H29" s="60">
        <v>2.7113119126743142</v>
      </c>
      <c r="I29" s="60">
        <v>2.2594265938952622</v>
      </c>
      <c r="J29" s="60">
        <v>1.6945699454214469</v>
      </c>
      <c r="K29" s="60">
        <v>1.3556559563371571</v>
      </c>
      <c r="L29" s="60">
        <v>1.1297132969476311</v>
      </c>
      <c r="M29" s="60">
        <v>0.90377063755810494</v>
      </c>
      <c r="N29" s="60">
        <v>0.67782797816857854</v>
      </c>
      <c r="O29" s="59"/>
      <c r="P29" s="59"/>
      <c r="Q29" s="59"/>
      <c r="R29" s="59"/>
      <c r="S29" s="105" t="s">
        <v>55</v>
      </c>
      <c r="T29" s="106">
        <v>10.48313121047415</v>
      </c>
      <c r="U29" s="107">
        <v>14.295178923373843</v>
      </c>
      <c r="V29" s="108">
        <v>7.1475894616869216</v>
      </c>
      <c r="W29" s="109">
        <v>9.5301192822492293</v>
      </c>
      <c r="X29" s="107">
        <v>15.394808071325677</v>
      </c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</row>
    <row r="30" spans="1:43" x14ac:dyDescent="0.45">
      <c r="A30" s="59"/>
      <c r="B30" s="72"/>
      <c r="C30" s="66">
        <v>16.684996385688091</v>
      </c>
      <c r="D30" s="66">
        <v>11.123330923792057</v>
      </c>
      <c r="E30" s="66">
        <v>8.3424981928440456</v>
      </c>
      <c r="F30" s="66">
        <v>5.5616654618960286</v>
      </c>
      <c r="G30" s="66">
        <v>2.6070306852637644</v>
      </c>
      <c r="H30" s="66">
        <v>2.085624548211011</v>
      </c>
      <c r="I30" s="66">
        <v>1.7380204568425093</v>
      </c>
      <c r="J30" s="66">
        <v>1.3035153426318822</v>
      </c>
      <c r="K30" s="66">
        <v>0.6256873644633032</v>
      </c>
      <c r="L30" s="66">
        <v>0.52140613705275274</v>
      </c>
      <c r="M30" s="66">
        <v>0.41712490964220228</v>
      </c>
      <c r="N30" s="59"/>
      <c r="O30" s="59"/>
      <c r="P30" s="59"/>
      <c r="Q30" s="59"/>
      <c r="R30" s="59"/>
      <c r="S30" s="78" t="s">
        <v>53</v>
      </c>
      <c r="T30" s="79">
        <v>6.9887541403160993</v>
      </c>
      <c r="U30" s="80">
        <v>9.5301192822492276</v>
      </c>
      <c r="V30" s="81">
        <v>4.7650596411246138</v>
      </c>
      <c r="W30" s="82">
        <v>6.3534128548328175</v>
      </c>
      <c r="X30" s="80">
        <v>10.263205380883784</v>
      </c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</row>
    <row r="31" spans="1:43" x14ac:dyDescent="0.45">
      <c r="A31" s="59"/>
      <c r="B31" s="72">
        <v>4000</v>
      </c>
      <c r="C31" s="60">
        <v>18.075412751162101</v>
      </c>
      <c r="D31" s="60">
        <v>12.050275167441399</v>
      </c>
      <c r="E31" s="60">
        <v>9.0377063755810507</v>
      </c>
      <c r="F31" s="60">
        <v>6.0251375837206993</v>
      </c>
      <c r="G31" s="60">
        <v>4.5188531877905254</v>
      </c>
      <c r="H31" s="60">
        <v>3.6150825502324193</v>
      </c>
      <c r="I31" s="60">
        <v>3.0125687918603496</v>
      </c>
      <c r="J31" s="60">
        <v>2.2594265938952627</v>
      </c>
      <c r="K31" s="60">
        <v>1.8075412751162097</v>
      </c>
      <c r="L31" s="60">
        <v>1.5062843959301748</v>
      </c>
      <c r="M31" s="60">
        <v>1.2050275167441398</v>
      </c>
      <c r="N31" s="59"/>
      <c r="O31" s="59"/>
      <c r="P31" s="59"/>
      <c r="Q31" s="59"/>
      <c r="R31" s="59"/>
      <c r="S31" s="78" t="s">
        <v>52</v>
      </c>
      <c r="T31" s="79">
        <v>5.2415656052370752</v>
      </c>
      <c r="U31" s="80">
        <v>7.1475894616869216</v>
      </c>
      <c r="V31" s="81">
        <v>3.5737947308434608</v>
      </c>
      <c r="W31" s="82">
        <v>4.7650596411246147</v>
      </c>
      <c r="X31" s="80">
        <v>7.6974040356628386</v>
      </c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</row>
    <row r="32" spans="1:43" x14ac:dyDescent="0.45">
      <c r="A32" s="59"/>
      <c r="B32" s="72"/>
      <c r="C32" s="66">
        <v>22.246661847584122</v>
      </c>
      <c r="D32" s="66">
        <v>14.831107898389414</v>
      </c>
      <c r="E32" s="66">
        <v>11.123330923792061</v>
      </c>
      <c r="F32" s="66">
        <v>7.4155539491947069</v>
      </c>
      <c r="G32" s="66">
        <v>3.476040913685019</v>
      </c>
      <c r="H32" s="66">
        <v>2.7808327309480143</v>
      </c>
      <c r="I32" s="66">
        <v>2.3173606091233454</v>
      </c>
      <c r="J32" s="66">
        <v>1.7380204568425095</v>
      </c>
      <c r="K32" s="66">
        <v>0.83424981928440445</v>
      </c>
      <c r="L32" s="66">
        <v>0.69520818273700358</v>
      </c>
      <c r="M32" s="66">
        <v>0.55616654618960293</v>
      </c>
      <c r="N32" s="59"/>
      <c r="O32" s="59"/>
      <c r="P32" s="59"/>
      <c r="Q32" s="59"/>
      <c r="R32" s="59"/>
      <c r="S32" s="78" t="s">
        <v>51</v>
      </c>
      <c r="T32" s="79">
        <v>4.1932524841896592</v>
      </c>
      <c r="U32" s="80">
        <v>5.7180715693495356</v>
      </c>
      <c r="V32" s="81">
        <v>2.8590357846747678</v>
      </c>
      <c r="W32" s="82">
        <v>3.812047712899691</v>
      </c>
      <c r="X32" s="80">
        <v>6.1579232285302687</v>
      </c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</row>
    <row r="33" spans="1:39" x14ac:dyDescent="0.45">
      <c r="A33" s="59"/>
      <c r="B33" s="72" t="s">
        <v>133</v>
      </c>
      <c r="C33" s="60">
        <v>19.882954026278309</v>
      </c>
      <c r="D33" s="60">
        <v>13.255302684185537</v>
      </c>
      <c r="E33" s="60">
        <v>9.9414770131391546</v>
      </c>
      <c r="F33" s="60">
        <v>6.6276513420927685</v>
      </c>
      <c r="G33" s="60">
        <v>4.9707385065695773</v>
      </c>
      <c r="H33" s="60">
        <v>3.9765908052556616</v>
      </c>
      <c r="I33" s="60">
        <v>3.3138256710463843</v>
      </c>
      <c r="J33" s="60">
        <v>2.4853692532847886</v>
      </c>
      <c r="K33" s="60">
        <v>1.9882954026278308</v>
      </c>
      <c r="L33" s="60">
        <v>1.6569128355231921</v>
      </c>
      <c r="M33" s="60">
        <v>1.3255302684185537</v>
      </c>
      <c r="N33" s="60">
        <v>0.99414770131391539</v>
      </c>
      <c r="O33" s="59"/>
      <c r="P33" s="59"/>
      <c r="Q33" s="59"/>
      <c r="R33" s="59"/>
      <c r="S33" s="110" t="s">
        <v>50</v>
      </c>
      <c r="T33" s="111">
        <v>3.4943770701580497</v>
      </c>
      <c r="U33" s="112">
        <v>4.7650596411246138</v>
      </c>
      <c r="V33" s="113">
        <v>2.3825298205623069</v>
      </c>
      <c r="W33" s="114">
        <v>3.1767064274164087</v>
      </c>
      <c r="X33" s="112">
        <v>5.1316026904418921</v>
      </c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</row>
    <row r="34" spans="1:39" x14ac:dyDescent="0.45">
      <c r="A34" s="59"/>
      <c r="B34" s="72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78" t="s">
        <v>49</v>
      </c>
      <c r="T34" s="79">
        <v>2.6207828026185376</v>
      </c>
      <c r="U34" s="80">
        <v>5.9563245514057679E-2</v>
      </c>
      <c r="V34" s="81">
        <v>1.7868973654217304</v>
      </c>
      <c r="W34" s="82">
        <v>2.3825298205623073</v>
      </c>
      <c r="X34" s="80">
        <v>3.8487020178314193</v>
      </c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</row>
    <row r="35" spans="1:39" x14ac:dyDescent="0.45">
      <c r="A35" s="59"/>
      <c r="B35" s="72">
        <v>6000</v>
      </c>
      <c r="C35" s="60">
        <v>33.369992771376182</v>
      </c>
      <c r="D35" s="60">
        <v>22.246661847584114</v>
      </c>
      <c r="E35" s="60">
        <v>16.684996385688091</v>
      </c>
      <c r="F35" s="60">
        <v>11.123330923792057</v>
      </c>
      <c r="G35" s="60">
        <v>5.2140613705275287</v>
      </c>
      <c r="H35" s="60">
        <v>4.1712490964220219</v>
      </c>
      <c r="I35" s="60">
        <v>3.4760409136850186</v>
      </c>
      <c r="J35" s="60">
        <v>2.6070306852637644</v>
      </c>
      <c r="K35" s="60">
        <v>1.2513747289266064</v>
      </c>
      <c r="L35" s="60">
        <v>1.0428122741055055</v>
      </c>
      <c r="M35" s="60">
        <v>0.83424981928440456</v>
      </c>
      <c r="N35" s="60">
        <v>1.4599371837477078</v>
      </c>
      <c r="O35" s="59"/>
      <c r="P35" s="59"/>
      <c r="Q35" s="59"/>
      <c r="R35" s="83"/>
      <c r="S35" s="78" t="s">
        <v>48</v>
      </c>
      <c r="T35" s="79">
        <v>2.0966262420948296</v>
      </c>
      <c r="U35" s="80">
        <v>4.7650596411246131E-2</v>
      </c>
      <c r="V35" s="81">
        <v>1.4295178923373839</v>
      </c>
      <c r="W35" s="82">
        <v>1.9060238564498455</v>
      </c>
      <c r="X35" s="80">
        <v>3.0789616142651344</v>
      </c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</row>
    <row r="36" spans="1:39" x14ac:dyDescent="0.45">
      <c r="A36" s="59"/>
      <c r="B36" s="72"/>
      <c r="C36" s="84">
        <v>44.540999999999997</v>
      </c>
      <c r="D36" s="84">
        <v>32.89</v>
      </c>
      <c r="E36" s="84">
        <v>25.405000000000001</v>
      </c>
      <c r="F36" s="84">
        <v>10.811999999999999</v>
      </c>
      <c r="G36" s="84">
        <v>6.8879999999999999</v>
      </c>
      <c r="H36" s="84">
        <v>5.0350000000000001</v>
      </c>
      <c r="I36" s="84">
        <v>3.9990000000000001</v>
      </c>
      <c r="J36" s="84">
        <v>2.6549999999999998</v>
      </c>
      <c r="K36" s="84">
        <v>1.6519999999999999</v>
      </c>
      <c r="L36" s="84">
        <v>0.92700000000000005</v>
      </c>
      <c r="M36" s="84">
        <v>0.7</v>
      </c>
      <c r="N36" s="59"/>
      <c r="O36" s="59"/>
      <c r="P36" s="59"/>
      <c r="Q36" s="59"/>
      <c r="R36" s="83"/>
      <c r="S36" s="115" t="s">
        <v>47</v>
      </c>
      <c r="T36" s="116">
        <v>1.7471885350790248</v>
      </c>
      <c r="U36" s="117">
        <v>3.9708830342705115E-2</v>
      </c>
      <c r="V36" s="118" t="s">
        <v>100</v>
      </c>
      <c r="W36" s="119">
        <v>1.5883532137082044</v>
      </c>
      <c r="X36" s="117">
        <v>2.5658013452209461</v>
      </c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</row>
    <row r="37" spans="1:39" x14ac:dyDescent="0.45">
      <c r="A37" s="59"/>
      <c r="B37" s="72" t="s">
        <v>134</v>
      </c>
      <c r="C37" s="60">
        <v>27.11311912674315</v>
      </c>
      <c r="D37" s="60">
        <v>18.075412751162098</v>
      </c>
      <c r="E37" s="60">
        <v>13.556559563371575</v>
      </c>
      <c r="F37" s="60">
        <v>9.0377063755810489</v>
      </c>
      <c r="G37" s="60">
        <v>6.7782797816857876</v>
      </c>
      <c r="H37" s="60">
        <v>5.4226238253486283</v>
      </c>
      <c r="I37" s="60">
        <v>4.5188531877905245</v>
      </c>
      <c r="J37" s="60">
        <v>3.3891398908428938</v>
      </c>
      <c r="K37" s="60">
        <v>2.7113119126743142</v>
      </c>
      <c r="L37" s="60">
        <v>2.2594265938952622</v>
      </c>
      <c r="M37" s="60">
        <v>1.8075412751162099</v>
      </c>
      <c r="N37" s="60">
        <v>1.3556559563371571</v>
      </c>
      <c r="O37" s="59"/>
      <c r="P37" s="59"/>
      <c r="Q37" s="59"/>
      <c r="R37" s="83"/>
      <c r="S37" s="78" t="s">
        <v>46</v>
      </c>
      <c r="T37" s="79">
        <v>1.3977508280632198</v>
      </c>
      <c r="U37" s="80">
        <v>3.1767064274164085E-2</v>
      </c>
      <c r="V37" s="81" t="s">
        <v>100</v>
      </c>
      <c r="W37" s="82">
        <v>1.2706825709665632</v>
      </c>
      <c r="X37" s="80">
        <v>2.0526410761767564</v>
      </c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</row>
    <row r="38" spans="1:39" x14ac:dyDescent="0.45">
      <c r="A38" s="59"/>
      <c r="B38" s="72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83"/>
      <c r="S38" s="78" t="s">
        <v>45</v>
      </c>
      <c r="T38" s="79">
        <v>1.0483131210474148</v>
      </c>
      <c r="U38" s="80">
        <v>2.3825298205623065E-2</v>
      </c>
      <c r="V38" s="81" t="s">
        <v>100</v>
      </c>
      <c r="W38" s="82" t="s">
        <v>100</v>
      </c>
      <c r="X38" s="80">
        <v>1.5394808071325672</v>
      </c>
      <c r="Y38" s="59"/>
      <c r="Z38" s="59"/>
      <c r="AA38" s="59"/>
      <c r="AB38" s="60">
        <v>75.436984434416004</v>
      </c>
      <c r="AC38" s="60">
        <v>50.291322956277327</v>
      </c>
      <c r="AD38" s="60">
        <v>37.718492217208002</v>
      </c>
      <c r="AE38" s="60">
        <v>25.145661478138663</v>
      </c>
      <c r="AF38" s="60">
        <v>18.859246108604001</v>
      </c>
      <c r="AG38" s="60">
        <v>15.087396886883194</v>
      </c>
      <c r="AH38" s="60">
        <v>12.572830739069332</v>
      </c>
      <c r="AI38" s="60">
        <v>9.4296230543020005</v>
      </c>
      <c r="AJ38" s="60">
        <v>7.5436984434415972</v>
      </c>
      <c r="AK38" s="60" t="s">
        <v>100</v>
      </c>
      <c r="AL38" s="60" t="s">
        <v>100</v>
      </c>
      <c r="AM38" s="60" t="s">
        <v>100</v>
      </c>
    </row>
    <row r="39" spans="1:39" x14ac:dyDescent="0.45">
      <c r="A39" s="60" t="s">
        <v>135</v>
      </c>
      <c r="B39" s="72">
        <v>2000</v>
      </c>
      <c r="C39" s="60">
        <v>9.5301192822492293</v>
      </c>
      <c r="D39" s="60">
        <v>6.3534128548328175</v>
      </c>
      <c r="E39" s="60">
        <v>4.7650596411246147</v>
      </c>
      <c r="F39" s="60">
        <v>3.1767064274164087</v>
      </c>
      <c r="G39" s="60">
        <v>2.3825298205623073</v>
      </c>
      <c r="H39" s="60">
        <v>1.9060238564498455</v>
      </c>
      <c r="I39" s="60" t="s">
        <v>100</v>
      </c>
      <c r="J39" s="60" t="s">
        <v>100</v>
      </c>
      <c r="K39" s="60" t="s">
        <v>100</v>
      </c>
      <c r="L39" s="60" t="s">
        <v>100</v>
      </c>
      <c r="M39" s="60" t="s">
        <v>100</v>
      </c>
      <c r="N39" s="60" t="s">
        <v>100</v>
      </c>
      <c r="O39" s="59"/>
      <c r="P39" s="59"/>
      <c r="Q39" s="59"/>
      <c r="R39" s="83"/>
      <c r="S39" s="78" t="s">
        <v>44</v>
      </c>
      <c r="T39" s="79">
        <v>19.882954026278309</v>
      </c>
      <c r="U39" s="80">
        <v>27.11311912674315</v>
      </c>
      <c r="V39" s="81">
        <v>13.556559563371575</v>
      </c>
      <c r="W39" s="82">
        <v>18.075412751162101</v>
      </c>
      <c r="X39" s="80">
        <v>33.369992771376182</v>
      </c>
      <c r="Y39" s="59"/>
      <c r="Z39" s="59"/>
      <c r="AA39" s="59"/>
      <c r="AB39" s="60">
        <v>110.78158553305845</v>
      </c>
      <c r="AC39" s="60">
        <v>73.854390355372303</v>
      </c>
      <c r="AD39" s="60">
        <v>55.390792766529223</v>
      </c>
      <c r="AE39" s="60">
        <v>36.927195177686151</v>
      </c>
      <c r="AF39" s="60">
        <v>27.695396383264612</v>
      </c>
      <c r="AG39" s="60">
        <v>22.156317106611684</v>
      </c>
      <c r="AH39" s="60">
        <v>18.463597588843076</v>
      </c>
      <c r="AI39" s="60">
        <v>13.847698191632306</v>
      </c>
      <c r="AJ39" s="60">
        <v>11.078158553305842</v>
      </c>
      <c r="AK39" s="60">
        <v>9.2317987944215378</v>
      </c>
      <c r="AL39" s="60">
        <v>7.3854390355372308</v>
      </c>
      <c r="AM39" s="60">
        <v>5.5390792766529211</v>
      </c>
    </row>
    <row r="40" spans="1:39" x14ac:dyDescent="0.45">
      <c r="A40" s="59"/>
      <c r="B40" s="72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85"/>
      <c r="R40" s="83"/>
      <c r="S40" s="78" t="s">
        <v>43</v>
      </c>
      <c r="T40" s="79">
        <v>13.255302684185537</v>
      </c>
      <c r="U40" s="80">
        <v>18.075412751162098</v>
      </c>
      <c r="V40" s="81">
        <v>9.0377063755810489</v>
      </c>
      <c r="W40" s="82">
        <v>12.050275167441399</v>
      </c>
      <c r="X40" s="80">
        <v>22.246661847584114</v>
      </c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</row>
    <row r="41" spans="1:39" x14ac:dyDescent="0.45">
      <c r="A41" s="59"/>
      <c r="B41" s="72">
        <v>3000</v>
      </c>
      <c r="C41" s="60">
        <v>14.295178923373843</v>
      </c>
      <c r="D41" s="60">
        <v>9.5301192822492276</v>
      </c>
      <c r="E41" s="60">
        <v>7.1475894616869216</v>
      </c>
      <c r="F41" s="60">
        <v>4.7650596411246138</v>
      </c>
      <c r="G41" s="60">
        <v>3.5737947308434608</v>
      </c>
      <c r="H41" s="60">
        <v>2.8590357846747678</v>
      </c>
      <c r="I41" s="60">
        <v>2.3825298205623069</v>
      </c>
      <c r="J41" s="60">
        <v>1.7868973654217304</v>
      </c>
      <c r="K41" s="60">
        <v>1.4295178923373839</v>
      </c>
      <c r="L41" s="60" t="s">
        <v>100</v>
      </c>
      <c r="M41" s="60" t="s">
        <v>100</v>
      </c>
      <c r="N41" s="60" t="s">
        <v>100</v>
      </c>
      <c r="O41" s="59"/>
      <c r="P41" s="59"/>
      <c r="Q41" s="85"/>
      <c r="R41" s="83"/>
      <c r="S41" s="120" t="s">
        <v>42</v>
      </c>
      <c r="T41" s="121">
        <v>9.9414770131391546</v>
      </c>
      <c r="U41" s="122">
        <v>13.556559563371575</v>
      </c>
      <c r="V41" s="123">
        <v>6.7782797816857876</v>
      </c>
      <c r="W41" s="124">
        <v>9.0377063755810507</v>
      </c>
      <c r="X41" s="122">
        <v>16.684996385688091</v>
      </c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</row>
    <row r="42" spans="1:39" x14ac:dyDescent="0.45">
      <c r="A42" s="59"/>
      <c r="B42" s="72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85"/>
      <c r="R42" s="83"/>
      <c r="S42" s="78" t="s">
        <v>40</v>
      </c>
      <c r="T42" s="79">
        <v>6.6276513420927685</v>
      </c>
      <c r="U42" s="80">
        <v>9.0377063755810489</v>
      </c>
      <c r="V42" s="81">
        <v>4.5188531877905245</v>
      </c>
      <c r="W42" s="82">
        <v>6.0251375837206993</v>
      </c>
      <c r="X42" s="80">
        <v>11.123330923792057</v>
      </c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</row>
    <row r="43" spans="1:39" x14ac:dyDescent="0.45">
      <c r="A43" s="59"/>
      <c r="B43" s="72">
        <v>4000</v>
      </c>
      <c r="C43" s="60">
        <v>19.060238564498459</v>
      </c>
      <c r="D43" s="60">
        <v>12.706825709665635</v>
      </c>
      <c r="E43" s="60">
        <v>9.5301192822492293</v>
      </c>
      <c r="F43" s="60">
        <v>6.3534128548328175</v>
      </c>
      <c r="G43" s="60">
        <v>4.7650596411246147</v>
      </c>
      <c r="H43" s="60">
        <v>3.812047712899691</v>
      </c>
      <c r="I43" s="60">
        <v>3.1767064274164087</v>
      </c>
      <c r="J43" s="60">
        <v>2.3825298205623073</v>
      </c>
      <c r="K43" s="60">
        <v>1.9060238564498455</v>
      </c>
      <c r="L43" s="60">
        <v>1.5883532137082044</v>
      </c>
      <c r="M43" s="60">
        <v>1.2706825709665632</v>
      </c>
      <c r="N43" s="60" t="s">
        <v>100</v>
      </c>
      <c r="O43" s="59"/>
      <c r="P43" s="59"/>
      <c r="Q43" s="85"/>
      <c r="R43" s="83"/>
      <c r="S43" s="78" t="s">
        <v>39</v>
      </c>
      <c r="T43" s="79">
        <v>4.9707385065695773</v>
      </c>
      <c r="U43" s="80">
        <v>6.7782797816857876</v>
      </c>
      <c r="V43" s="81">
        <v>3.3891398908428938</v>
      </c>
      <c r="W43" s="82">
        <v>4.5188531877905254</v>
      </c>
      <c r="X43" s="80">
        <v>5.2140613705275287</v>
      </c>
      <c r="Y43" s="59"/>
      <c r="Z43" s="59"/>
      <c r="AA43" s="60">
        <v>75.436984434416004</v>
      </c>
      <c r="AB43" s="60">
        <v>110.78158553305845</v>
      </c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</row>
    <row r="44" spans="1:39" x14ac:dyDescent="0.45">
      <c r="A44" s="59"/>
      <c r="B44" s="72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85"/>
      <c r="R44" s="83"/>
      <c r="S44" s="78" t="s">
        <v>38</v>
      </c>
      <c r="T44" s="79">
        <v>3.9765908052556616</v>
      </c>
      <c r="U44" s="80">
        <v>5.4226238253486283</v>
      </c>
      <c r="V44" s="81">
        <v>2.7113119126743142</v>
      </c>
      <c r="W44" s="82">
        <v>3.6150825502324193</v>
      </c>
      <c r="X44" s="80">
        <v>4.1712490964220219</v>
      </c>
      <c r="Y44" s="59"/>
      <c r="Z44" s="59"/>
      <c r="AA44" s="60">
        <v>50.291322956277327</v>
      </c>
      <c r="AB44" s="60">
        <v>73.854390355372303</v>
      </c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</row>
    <row r="45" spans="1:39" x14ac:dyDescent="0.45">
      <c r="A45" s="59"/>
      <c r="B45" s="72" t="s">
        <v>133</v>
      </c>
      <c r="C45" s="60">
        <v>20.966262420948301</v>
      </c>
      <c r="D45" s="60">
        <v>13.977508280632199</v>
      </c>
      <c r="E45" s="60">
        <v>10.48313121047415</v>
      </c>
      <c r="F45" s="60">
        <v>6.9887541403160993</v>
      </c>
      <c r="G45" s="60">
        <v>5.2415656052370752</v>
      </c>
      <c r="H45" s="60">
        <v>4.1932524841896592</v>
      </c>
      <c r="I45" s="60">
        <v>3.4943770701580497</v>
      </c>
      <c r="J45" s="60">
        <v>2.6207828026185376</v>
      </c>
      <c r="K45" s="60">
        <v>2.0966262420948296</v>
      </c>
      <c r="L45" s="60">
        <v>1.7471885350790248</v>
      </c>
      <c r="M45" s="60">
        <v>1.3977508280632198</v>
      </c>
      <c r="N45" s="60">
        <v>1.0483131210474148</v>
      </c>
      <c r="O45" s="59"/>
      <c r="P45" s="59"/>
      <c r="Q45" s="85"/>
      <c r="R45" s="83"/>
      <c r="S45" s="125" t="s">
        <v>37</v>
      </c>
      <c r="T45" s="126">
        <v>3.3138256710463843</v>
      </c>
      <c r="U45" s="127">
        <v>4.5188531877905245</v>
      </c>
      <c r="V45" s="128">
        <v>2.2594265938952622</v>
      </c>
      <c r="W45" s="129">
        <v>3.0125687918603496</v>
      </c>
      <c r="X45" s="127">
        <v>3.4760409136850186</v>
      </c>
      <c r="Y45" s="59"/>
      <c r="Z45" s="59"/>
      <c r="AA45" s="60">
        <v>37.718492217208002</v>
      </c>
      <c r="AB45" s="60">
        <v>55.390792766529223</v>
      </c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</row>
    <row r="46" spans="1:39" x14ac:dyDescent="0.45">
      <c r="A46" s="59"/>
      <c r="B46" s="72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85"/>
      <c r="R46" s="83"/>
      <c r="S46" s="78" t="s">
        <v>36</v>
      </c>
      <c r="T46" s="79">
        <v>2.4853692532847886</v>
      </c>
      <c r="U46" s="80">
        <v>3.3891398908428938</v>
      </c>
      <c r="V46" s="81">
        <v>1.6945699454214469</v>
      </c>
      <c r="W46" s="82">
        <v>2.2594265938952627</v>
      </c>
      <c r="X46" s="80">
        <v>2.6070306852637644</v>
      </c>
      <c r="Y46" s="59"/>
      <c r="Z46" s="59"/>
      <c r="AA46" s="60">
        <v>25.145661478138663</v>
      </c>
      <c r="AB46" s="60">
        <v>36.927195177686151</v>
      </c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</row>
    <row r="47" spans="1:39" x14ac:dyDescent="0.45">
      <c r="A47" s="59"/>
      <c r="B47" s="72">
        <v>6000</v>
      </c>
      <c r="C47" s="60">
        <v>30.789616142651354</v>
      </c>
      <c r="D47" s="60">
        <v>20.526410761767568</v>
      </c>
      <c r="E47" s="60">
        <v>15.394808071325677</v>
      </c>
      <c r="F47" s="60">
        <v>10.263205380883784</v>
      </c>
      <c r="G47" s="60">
        <v>7.6974040356628386</v>
      </c>
      <c r="H47" s="60">
        <v>6.1579232285302687</v>
      </c>
      <c r="I47" s="60">
        <v>5.1316026904418921</v>
      </c>
      <c r="J47" s="60">
        <v>3.8487020178314193</v>
      </c>
      <c r="K47" s="60">
        <v>3.0789616142651344</v>
      </c>
      <c r="L47" s="60">
        <v>2.5658013452209461</v>
      </c>
      <c r="M47" s="60">
        <v>2.0526410761767564</v>
      </c>
      <c r="N47" s="60">
        <v>1.5394808071325672</v>
      </c>
      <c r="O47" s="59"/>
      <c r="P47" s="59"/>
      <c r="Q47" s="85"/>
      <c r="R47" s="83"/>
      <c r="S47" s="130" t="s">
        <v>35</v>
      </c>
      <c r="T47" s="131">
        <v>1.9882954026278308</v>
      </c>
      <c r="U47" s="132">
        <v>2.7113119126743142</v>
      </c>
      <c r="V47" s="133">
        <v>1.3556559563371571</v>
      </c>
      <c r="W47" s="134">
        <v>1.8075412751162097</v>
      </c>
      <c r="X47" s="132">
        <v>1.2513747289266064</v>
      </c>
      <c r="Y47" s="59"/>
      <c r="Z47" s="59"/>
      <c r="AA47" s="60">
        <v>18.859246108604001</v>
      </c>
      <c r="AB47" s="60">
        <v>27.695396383264612</v>
      </c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</row>
    <row r="48" spans="1:39" x14ac:dyDescent="0.45">
      <c r="A48" s="59"/>
      <c r="B48" s="72"/>
      <c r="C48" s="85">
        <v>8.0890000000000004</v>
      </c>
      <c r="D48" s="85">
        <v>6.5579999999999998</v>
      </c>
      <c r="E48" s="85">
        <v>5.5060000000000002</v>
      </c>
      <c r="F48" s="85">
        <v>4.1470000000000002</v>
      </c>
      <c r="G48" s="85">
        <v>3.47</v>
      </c>
      <c r="H48" s="85">
        <v>3.1419999999999999</v>
      </c>
      <c r="I48" s="85">
        <v>2.74</v>
      </c>
      <c r="J48" s="85">
        <v>2.403</v>
      </c>
      <c r="K48" s="85">
        <v>2.0329999999999999</v>
      </c>
      <c r="L48" s="85">
        <v>1.69</v>
      </c>
      <c r="M48" s="85">
        <v>1.165</v>
      </c>
      <c r="N48" s="85">
        <v>0.96499999999999997</v>
      </c>
      <c r="O48" s="59"/>
      <c r="P48" s="59"/>
      <c r="Q48" s="85"/>
      <c r="R48" s="83"/>
      <c r="S48" s="78" t="s">
        <v>34</v>
      </c>
      <c r="T48" s="79">
        <v>1.6569128355231921</v>
      </c>
      <c r="U48" s="80">
        <v>2.2594265938952622</v>
      </c>
      <c r="V48" s="81">
        <v>1.1297132969476311</v>
      </c>
      <c r="W48" s="82">
        <v>1.5062843959301748</v>
      </c>
      <c r="X48" s="80">
        <v>1.0428122741055055</v>
      </c>
      <c r="Y48" s="59"/>
      <c r="Z48" s="59"/>
      <c r="AA48" s="60">
        <v>15.087396886883194</v>
      </c>
      <c r="AB48" s="60">
        <v>22.156317106611684</v>
      </c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1:38" x14ac:dyDescent="0.45">
      <c r="A49" s="59"/>
      <c r="B49" s="72" t="s">
        <v>134</v>
      </c>
      <c r="C49" s="60">
        <v>28.590357846747686</v>
      </c>
      <c r="D49" s="60">
        <v>19.060238564498455</v>
      </c>
      <c r="E49" s="60">
        <v>14.295178923373843</v>
      </c>
      <c r="F49" s="60">
        <v>9.5301192822492276</v>
      </c>
      <c r="G49" s="60">
        <v>7.1475894616869216</v>
      </c>
      <c r="H49" s="60">
        <v>5.7180715693495356</v>
      </c>
      <c r="I49" s="60">
        <v>4.7650596411246138</v>
      </c>
      <c r="J49" s="60">
        <v>2.4</v>
      </c>
      <c r="K49" s="60">
        <v>1.5</v>
      </c>
      <c r="L49" s="60">
        <v>3.9708830342705115E-2</v>
      </c>
      <c r="M49" s="60">
        <v>3.1767064274164085E-2</v>
      </c>
      <c r="N49" s="60">
        <v>2.3825298205623065E-2</v>
      </c>
      <c r="O49" s="59"/>
      <c r="P49" s="59"/>
      <c r="Q49" s="85"/>
      <c r="R49" s="83"/>
      <c r="S49" s="78" t="s">
        <v>33</v>
      </c>
      <c r="T49" s="79">
        <v>1.3255302684185537</v>
      </c>
      <c r="U49" s="80">
        <v>1.8075412751162099</v>
      </c>
      <c r="V49" s="81">
        <v>0.90377063755810494</v>
      </c>
      <c r="W49" s="82">
        <v>1.2050275167441398</v>
      </c>
      <c r="X49" s="80">
        <v>0.83424981928440456</v>
      </c>
      <c r="Y49" s="59"/>
      <c r="Z49" s="59"/>
      <c r="AA49" s="60">
        <v>12.572830739069332</v>
      </c>
      <c r="AB49" s="60">
        <v>18.463597588843076</v>
      </c>
      <c r="AC49" s="59"/>
      <c r="AD49" s="59"/>
      <c r="AE49" s="59"/>
      <c r="AF49" s="59"/>
      <c r="AG49" s="59"/>
      <c r="AH49" s="59"/>
      <c r="AI49" s="59"/>
      <c r="AJ49" s="59"/>
      <c r="AK49" s="59"/>
      <c r="AL49" s="59"/>
    </row>
    <row r="50" spans="1:38" x14ac:dyDescent="0.45">
      <c r="A50" s="59"/>
      <c r="B50" s="72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85"/>
      <c r="R50" s="83"/>
      <c r="S50" s="78" t="s">
        <v>32</v>
      </c>
      <c r="T50" s="86">
        <v>75.436984434416004</v>
      </c>
      <c r="U50" s="87">
        <v>102.86861513784001</v>
      </c>
      <c r="V50" s="88">
        <v>51.434307568920005</v>
      </c>
      <c r="W50" s="89">
        <v>68.579076758559992</v>
      </c>
      <c r="X50" s="87">
        <v>110.78158553305845</v>
      </c>
      <c r="Y50" s="59"/>
      <c r="Z50" s="59"/>
      <c r="AA50" s="60">
        <v>9.4296230543020005</v>
      </c>
      <c r="AB50" s="60">
        <v>13.847698191632306</v>
      </c>
      <c r="AC50" s="59"/>
      <c r="AD50" s="59"/>
      <c r="AE50" s="59"/>
      <c r="AF50" s="59"/>
      <c r="AG50" s="59"/>
      <c r="AH50" s="59"/>
      <c r="AI50" s="59"/>
      <c r="AJ50" s="59"/>
      <c r="AK50" s="59"/>
      <c r="AL50" s="59"/>
    </row>
    <row r="51" spans="1:38" x14ac:dyDescent="0.45">
      <c r="A51" s="60" t="s">
        <v>109</v>
      </c>
      <c r="B51" s="72">
        <v>2000</v>
      </c>
      <c r="C51" s="60">
        <v>34.289538379279996</v>
      </c>
      <c r="D51" s="60">
        <v>22.859692252853332</v>
      </c>
      <c r="E51" s="60">
        <v>17.144769189639998</v>
      </c>
      <c r="F51" s="60">
        <v>11.429846126426666</v>
      </c>
      <c r="G51" s="60">
        <v>8.572384594819999</v>
      </c>
      <c r="H51" s="60">
        <v>6.8579076758559987</v>
      </c>
      <c r="I51" s="60">
        <v>5.714923063213333</v>
      </c>
      <c r="J51" s="60" t="s">
        <v>100</v>
      </c>
      <c r="K51" s="60" t="s">
        <v>100</v>
      </c>
      <c r="L51" s="60" t="s">
        <v>100</v>
      </c>
      <c r="M51" s="60" t="s">
        <v>100</v>
      </c>
      <c r="N51" s="60" t="s">
        <v>100</v>
      </c>
      <c r="O51" s="59"/>
      <c r="P51" s="59"/>
      <c r="Q51" s="85"/>
      <c r="R51" s="83"/>
      <c r="S51" s="78" t="s">
        <v>31</v>
      </c>
      <c r="T51" s="86">
        <v>50.291322956277327</v>
      </c>
      <c r="U51" s="87">
        <v>68.579076758559992</v>
      </c>
      <c r="V51" s="88">
        <v>34.289538379279996</v>
      </c>
      <c r="W51" s="89">
        <v>45.719384505706664</v>
      </c>
      <c r="X51" s="87">
        <v>73.854390355372303</v>
      </c>
      <c r="Y51" s="59"/>
      <c r="Z51" s="59"/>
      <c r="AA51" s="60">
        <v>7.5436984434415972</v>
      </c>
      <c r="AB51" s="60">
        <v>11.078158553305842</v>
      </c>
      <c r="AC51" s="59"/>
      <c r="AD51" s="59"/>
      <c r="AE51" s="59"/>
      <c r="AF51" s="59"/>
      <c r="AG51" s="59"/>
      <c r="AH51" s="59"/>
      <c r="AI51" s="59"/>
      <c r="AJ51" s="59"/>
      <c r="AK51" s="59"/>
      <c r="AL51" s="59"/>
    </row>
    <row r="52" spans="1:38" x14ac:dyDescent="0.45">
      <c r="A52" s="59"/>
      <c r="B52" s="72">
        <v>3000</v>
      </c>
      <c r="C52" s="60">
        <v>51.434307568920005</v>
      </c>
      <c r="D52" s="60">
        <v>34.289538379279996</v>
      </c>
      <c r="E52" s="60">
        <v>25.717153784460002</v>
      </c>
      <c r="F52" s="60">
        <v>17.144769189639998</v>
      </c>
      <c r="G52" s="60">
        <v>12.858576892230001</v>
      </c>
      <c r="H52" s="60">
        <v>10.286861513783997</v>
      </c>
      <c r="I52" s="60">
        <v>8.572384594819999</v>
      </c>
      <c r="J52" s="60">
        <v>6.4292884461150006</v>
      </c>
      <c r="K52" s="60">
        <v>5.1434307568919984</v>
      </c>
      <c r="L52" s="60" t="s">
        <v>100</v>
      </c>
      <c r="M52" s="60" t="s">
        <v>100</v>
      </c>
      <c r="N52" s="60" t="s">
        <v>100</v>
      </c>
      <c r="O52" s="59"/>
      <c r="P52" s="59"/>
      <c r="Q52" s="59"/>
      <c r="R52" s="83"/>
      <c r="S52" s="125" t="s">
        <v>30</v>
      </c>
      <c r="T52" s="135">
        <v>37.718492217208002</v>
      </c>
      <c r="U52" s="136">
        <v>51.434307568920005</v>
      </c>
      <c r="V52" s="137">
        <v>25.717153784460002</v>
      </c>
      <c r="W52" s="138">
        <v>34.289538379279996</v>
      </c>
      <c r="X52" s="136">
        <v>55.390792766529223</v>
      </c>
      <c r="Y52" s="59"/>
      <c r="Z52" s="59"/>
      <c r="AA52" s="60" t="s">
        <v>100</v>
      </c>
      <c r="AB52" s="60">
        <v>9.2317987944215378</v>
      </c>
      <c r="AC52" s="59"/>
      <c r="AD52" s="59"/>
      <c r="AE52" s="59"/>
      <c r="AF52" s="59"/>
      <c r="AG52" s="59"/>
      <c r="AH52" s="59"/>
      <c r="AI52" s="59"/>
      <c r="AJ52" s="59"/>
      <c r="AK52" s="59"/>
      <c r="AL52" s="59"/>
    </row>
    <row r="53" spans="1:38" x14ac:dyDescent="0.45">
      <c r="A53" s="59"/>
      <c r="B53" s="72">
        <v>4000</v>
      </c>
      <c r="C53" s="60">
        <v>68.579076758559992</v>
      </c>
      <c r="D53" s="60">
        <v>45.719384505706664</v>
      </c>
      <c r="E53" s="60">
        <v>34.289538379279996</v>
      </c>
      <c r="F53" s="60">
        <v>22.859692252853332</v>
      </c>
      <c r="G53" s="60">
        <v>17.144769189639998</v>
      </c>
      <c r="H53" s="60">
        <v>13.715815351711997</v>
      </c>
      <c r="I53" s="60">
        <v>11.429846126426666</v>
      </c>
      <c r="J53" s="60">
        <v>8.572384594819999</v>
      </c>
      <c r="K53" s="60">
        <v>6.8579076758559987</v>
      </c>
      <c r="L53" s="60">
        <v>5.714923063213333</v>
      </c>
      <c r="M53" s="60">
        <v>4.5719384505706664</v>
      </c>
      <c r="N53" s="60" t="s">
        <v>100</v>
      </c>
      <c r="O53" s="59"/>
      <c r="P53" s="59"/>
      <c r="Q53" s="59"/>
      <c r="R53" s="59"/>
      <c r="S53" s="78" t="s">
        <v>28</v>
      </c>
      <c r="T53" s="86">
        <v>25.145661478138663</v>
      </c>
      <c r="U53" s="87">
        <v>34.289538379279996</v>
      </c>
      <c r="V53" s="88">
        <v>17.144769189639998</v>
      </c>
      <c r="W53" s="89">
        <v>22.859692252853332</v>
      </c>
      <c r="X53" s="87">
        <v>36.927195177686151</v>
      </c>
      <c r="Y53" s="59"/>
      <c r="Z53" s="59"/>
      <c r="AA53" s="60" t="s">
        <v>100</v>
      </c>
      <c r="AB53" s="60">
        <v>7.3854390355372308</v>
      </c>
      <c r="AC53" s="59"/>
      <c r="AD53" s="59"/>
      <c r="AE53" s="59"/>
      <c r="AF53" s="59"/>
      <c r="AG53" s="59"/>
      <c r="AH53" s="59"/>
      <c r="AI53" s="59"/>
      <c r="AJ53" s="59"/>
      <c r="AK53" s="59"/>
      <c r="AL53" s="59"/>
    </row>
    <row r="54" spans="1:38" x14ac:dyDescent="0.45">
      <c r="A54" s="59"/>
      <c r="B54" s="72" t="s">
        <v>133</v>
      </c>
      <c r="C54" s="60">
        <v>75.436984434416004</v>
      </c>
      <c r="D54" s="60">
        <v>50.291322956277327</v>
      </c>
      <c r="E54" s="60">
        <v>37.718492217208002</v>
      </c>
      <c r="F54" s="60">
        <v>25.145661478138663</v>
      </c>
      <c r="G54" s="60">
        <v>18.859246108604001</v>
      </c>
      <c r="H54" s="60">
        <v>15.087396886883194</v>
      </c>
      <c r="I54" s="60">
        <v>12.572830739069332</v>
      </c>
      <c r="J54" s="60">
        <v>9.4296230543020005</v>
      </c>
      <c r="K54" s="60">
        <v>7.5436984434415972</v>
      </c>
      <c r="L54" s="60" t="s">
        <v>100</v>
      </c>
      <c r="M54" s="60" t="s">
        <v>100</v>
      </c>
      <c r="N54" s="60" t="s">
        <v>100</v>
      </c>
      <c r="O54" s="59"/>
      <c r="P54" s="59"/>
      <c r="Q54" s="59"/>
      <c r="R54" s="59"/>
      <c r="S54" s="120" t="s">
        <v>27</v>
      </c>
      <c r="T54" s="139">
        <v>18.859246108604001</v>
      </c>
      <c r="U54" s="140">
        <v>25.717153784460002</v>
      </c>
      <c r="V54" s="141">
        <v>12.858576892230001</v>
      </c>
      <c r="W54" s="142">
        <v>17.144769189639998</v>
      </c>
      <c r="X54" s="140">
        <v>27.695396383264612</v>
      </c>
      <c r="Y54" s="59"/>
      <c r="Z54" s="59"/>
      <c r="AA54" s="60" t="s">
        <v>100</v>
      </c>
      <c r="AB54" s="60">
        <v>5.5390792766529211</v>
      </c>
      <c r="AC54" s="59"/>
      <c r="AD54" s="59"/>
      <c r="AE54" s="59"/>
      <c r="AF54" s="59"/>
      <c r="AG54" s="59"/>
      <c r="AH54" s="59"/>
      <c r="AI54" s="59"/>
      <c r="AJ54" s="59"/>
      <c r="AK54" s="59"/>
      <c r="AL54" s="59"/>
    </row>
    <row r="55" spans="1:38" x14ac:dyDescent="0.45">
      <c r="A55" s="59"/>
      <c r="B55" s="72">
        <v>6000</v>
      </c>
      <c r="C55" s="60">
        <v>110.78158553305845</v>
      </c>
      <c r="D55" s="60">
        <v>73.854390355372303</v>
      </c>
      <c r="E55" s="60">
        <v>55.390792766529223</v>
      </c>
      <c r="F55" s="60">
        <v>36.927195177686151</v>
      </c>
      <c r="G55" s="60">
        <v>27.695396383264612</v>
      </c>
      <c r="H55" s="60">
        <v>22.156317106611684</v>
      </c>
      <c r="I55" s="60">
        <v>18.463597588843076</v>
      </c>
      <c r="J55" s="60">
        <v>13.847698191632306</v>
      </c>
      <c r="K55" s="60">
        <v>11.078158553305842</v>
      </c>
      <c r="L55" s="60">
        <v>9.2317987944215378</v>
      </c>
      <c r="M55" s="60">
        <v>7.3854390355372308</v>
      </c>
      <c r="N55" s="60">
        <v>5.5390792766529211</v>
      </c>
      <c r="O55" s="59"/>
      <c r="P55" s="59"/>
      <c r="Q55" s="59"/>
      <c r="R55" s="59"/>
      <c r="S55" s="78" t="s">
        <v>26</v>
      </c>
      <c r="T55" s="86">
        <v>15.087396886883194</v>
      </c>
      <c r="U55" s="87">
        <v>20.573723027567993</v>
      </c>
      <c r="V55" s="88">
        <v>10.286861513783997</v>
      </c>
      <c r="W55" s="89">
        <v>13.715815351711997</v>
      </c>
      <c r="X55" s="87">
        <v>22.156317106611684</v>
      </c>
      <c r="Y55" s="59"/>
      <c r="Z55" s="59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</row>
    <row r="56" spans="1:38" ht="14.65" thickBot="1" x14ac:dyDescent="0.5">
      <c r="A56" s="59"/>
      <c r="B56" s="72" t="s">
        <v>134</v>
      </c>
      <c r="C56" s="60">
        <v>102.86861513784001</v>
      </c>
      <c r="D56" s="60">
        <v>68.579076758559992</v>
      </c>
      <c r="E56" s="60">
        <v>51.434307568920005</v>
      </c>
      <c r="F56" s="60">
        <v>34.289538379279996</v>
      </c>
      <c r="G56" s="60">
        <v>25.717153784460002</v>
      </c>
      <c r="H56" s="60">
        <v>20.573723027567993</v>
      </c>
      <c r="I56" s="60">
        <v>17.144769189639998</v>
      </c>
      <c r="J56" s="60">
        <v>12.858576892230001</v>
      </c>
      <c r="K56" s="60">
        <v>10.286861513783997</v>
      </c>
      <c r="L56" s="60">
        <v>8.572384594819999</v>
      </c>
      <c r="M56" s="60">
        <v>6.8579076758559996</v>
      </c>
      <c r="N56" s="60" t="s">
        <v>100</v>
      </c>
      <c r="O56" s="59"/>
      <c r="P56" s="59"/>
      <c r="Q56" s="59"/>
      <c r="R56" s="59"/>
      <c r="S56" s="143" t="s">
        <v>25</v>
      </c>
      <c r="T56" s="144">
        <v>12.572830739069332</v>
      </c>
      <c r="U56" s="145">
        <v>17.144769189639998</v>
      </c>
      <c r="V56" s="146">
        <v>8.572384594819999</v>
      </c>
      <c r="W56" s="147">
        <v>11.429846126426666</v>
      </c>
      <c r="X56" s="145">
        <v>18.463597588843076</v>
      </c>
      <c r="Y56" s="59"/>
      <c r="Z56" s="59"/>
      <c r="AA56" s="60">
        <v>51.434307568920005</v>
      </c>
      <c r="AB56" s="60">
        <v>34.289538379279996</v>
      </c>
      <c r="AC56" s="60">
        <v>25.717153784460002</v>
      </c>
      <c r="AD56" s="60">
        <v>17.144769189639998</v>
      </c>
      <c r="AE56" s="60">
        <v>12.858576892230001</v>
      </c>
      <c r="AF56" s="60">
        <v>10.286861513783997</v>
      </c>
      <c r="AG56" s="60">
        <v>8.572384594819999</v>
      </c>
      <c r="AH56" s="60">
        <v>6.4292884461150006</v>
      </c>
      <c r="AI56" s="60">
        <v>5.1434307568919984</v>
      </c>
      <c r="AJ56" s="59"/>
      <c r="AK56" s="59"/>
      <c r="AL56" s="59"/>
    </row>
    <row r="57" spans="1:38" x14ac:dyDescent="0.4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60">
        <v>68.579076758559992</v>
      </c>
      <c r="AB57" s="60">
        <v>45.719384505706664</v>
      </c>
      <c r="AC57" s="60">
        <v>34.289538379279996</v>
      </c>
      <c r="AD57" s="60">
        <v>22.859692252853332</v>
      </c>
      <c r="AE57" s="60">
        <v>17.144769189639998</v>
      </c>
      <c r="AF57" s="60">
        <v>13.715815351711997</v>
      </c>
      <c r="AG57" s="60">
        <v>11.429846126426666</v>
      </c>
      <c r="AH57" s="60">
        <v>8.572384594819999</v>
      </c>
      <c r="AI57" s="60">
        <v>6.8579076758559987</v>
      </c>
      <c r="AJ57" s="60">
        <v>5.714923063213333</v>
      </c>
      <c r="AK57" s="60">
        <v>4.5719384505706664</v>
      </c>
      <c r="AL57" s="59"/>
    </row>
    <row r="58" spans="1:38" x14ac:dyDescent="0.45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60">
        <v>110.78158553305845</v>
      </c>
      <c r="AB58" s="60">
        <v>73.854390355372303</v>
      </c>
      <c r="AC58" s="60">
        <v>55.390792766529223</v>
      </c>
      <c r="AD58" s="60">
        <v>36.927195177686151</v>
      </c>
      <c r="AE58" s="60">
        <v>27.695396383264612</v>
      </c>
      <c r="AF58" s="60">
        <v>22.156317106611684</v>
      </c>
      <c r="AG58" s="60">
        <v>18.463597588843076</v>
      </c>
      <c r="AH58" s="60">
        <v>13.847698191632306</v>
      </c>
      <c r="AI58" s="60">
        <v>11.078158553305842</v>
      </c>
      <c r="AJ58" s="60">
        <v>9.2317987944215378</v>
      </c>
      <c r="AK58" s="60">
        <v>7.3854390355372308</v>
      </c>
      <c r="AL58" s="60">
        <v>5.5390792766529211</v>
      </c>
    </row>
    <row r="59" spans="1:38" x14ac:dyDescent="0.45">
      <c r="A59" s="59"/>
      <c r="B59" s="72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</row>
    <row r="60" spans="1:38" x14ac:dyDescent="0.45">
      <c r="A60" s="59"/>
      <c r="B60" s="72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</row>
    <row r="61" spans="1:38" x14ac:dyDescent="0.45">
      <c r="A61" s="59"/>
      <c r="B61" s="72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60">
        <v>102.86861513784001</v>
      </c>
      <c r="U61" s="60">
        <v>68.579076758559992</v>
      </c>
      <c r="V61" s="60">
        <v>51.434307568920005</v>
      </c>
      <c r="W61" s="60">
        <v>34.289538379279996</v>
      </c>
      <c r="X61" s="60">
        <v>25.717153784460002</v>
      </c>
      <c r="Y61" s="60">
        <v>20.573723027567993</v>
      </c>
      <c r="Z61" s="60">
        <v>17.144769189639998</v>
      </c>
      <c r="AA61" s="60">
        <v>12.858576892230001</v>
      </c>
      <c r="AB61" s="60">
        <v>10.286861513783997</v>
      </c>
      <c r="AC61" s="60">
        <v>8.572384594819999</v>
      </c>
      <c r="AD61" s="60">
        <v>6.8579076758559996</v>
      </c>
      <c r="AE61" s="59"/>
      <c r="AF61" s="59"/>
      <c r="AG61" s="59"/>
      <c r="AH61" s="59"/>
      <c r="AI61" s="59"/>
      <c r="AJ61" s="59"/>
      <c r="AK61" s="59"/>
      <c r="AL61" s="59"/>
    </row>
    <row r="62" spans="1:38" x14ac:dyDescent="0.45">
      <c r="A62" s="59"/>
      <c r="B62" s="72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</row>
    <row r="63" spans="1:38" x14ac:dyDescent="0.45">
      <c r="A63" s="59"/>
      <c r="B63" s="72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</row>
    <row r="64" spans="1:38" x14ac:dyDescent="0.45">
      <c r="A64" s="59"/>
      <c r="B64" s="72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</row>
    <row r="65" spans="2:2" x14ac:dyDescent="0.45">
      <c r="B65" s="72"/>
    </row>
    <row r="66" spans="2:2" x14ac:dyDescent="0.45">
      <c r="B66" s="72"/>
    </row>
    <row r="67" spans="2:2" x14ac:dyDescent="0.45">
      <c r="B67" s="72"/>
    </row>
    <row r="68" spans="2:2" x14ac:dyDescent="0.45">
      <c r="B68" s="72"/>
    </row>
    <row r="69" spans="2:2" x14ac:dyDescent="0.45">
      <c r="B69" s="72"/>
    </row>
    <row r="70" spans="2:2" x14ac:dyDescent="0.45">
      <c r="B70" s="72"/>
    </row>
    <row r="71" spans="2:2" x14ac:dyDescent="0.45">
      <c r="B71" s="72"/>
    </row>
    <row r="72" spans="2:2" x14ac:dyDescent="0.45">
      <c r="B72" s="72"/>
    </row>
    <row r="73" spans="2:2" x14ac:dyDescent="0.45">
      <c r="B73" s="72"/>
    </row>
    <row r="74" spans="2:2" x14ac:dyDescent="0.45">
      <c r="B74" s="72"/>
    </row>
    <row r="75" spans="2:2" x14ac:dyDescent="0.45">
      <c r="B75" s="72"/>
    </row>
    <row r="76" spans="2:2" x14ac:dyDescent="0.45">
      <c r="B76" s="72"/>
    </row>
  </sheetData>
  <mergeCells count="9">
    <mergeCell ref="C22:H22"/>
    <mergeCell ref="T25:U25"/>
    <mergeCell ref="V25:X25"/>
    <mergeCell ref="C5:D5"/>
    <mergeCell ref="E5:I5"/>
    <mergeCell ref="C7:H7"/>
    <mergeCell ref="C8:H8"/>
    <mergeCell ref="C9:H9"/>
    <mergeCell ref="C10:H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Anual Demand Average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P11</vt:lpstr>
      <vt:lpstr>PResumen</vt:lpstr>
      <vt:lpstr>Cutting_Speeds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Jose Feller Goudie</dc:creator>
  <cp:lastModifiedBy>Alejandro Mac Cawley V.</cp:lastModifiedBy>
  <dcterms:created xsi:type="dcterms:W3CDTF">2018-01-30T12:34:43Z</dcterms:created>
  <dcterms:modified xsi:type="dcterms:W3CDTF">2021-06-17T19:15:34Z</dcterms:modified>
</cp:coreProperties>
</file>